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Zones" sheetId="3" state="visible" r:id="rId5"/>
    <sheet name="Portes" sheetId="4" state="visible" r:id="rId6"/>
    <sheet name="Parois" sheetId="5" state="visible" r:id="rId7"/>
    <sheet name="Panneaux" sheetId="6" state="visible" r:id="rId8"/>
    <sheet name="Bilan frigorifique" sheetId="7" state="visible" r:id="rId9"/>
    <sheet name="Équipeme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C1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D1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E1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E1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E1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F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F1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F1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F1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 (polygone)</t>
        </r>
      </text>
    </comment>
    <comment ref="G5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6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7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8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9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0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1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2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3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4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5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6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7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8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G19" authorId="0">
      <text>
        <r>
          <rPr>
            <sz val="10"/>
            <rFont val="Arial"/>
            <family val="2"/>
          </rPr>
          <t xml:space="preserve">Hauteur des panneaux / faux-plafond isotherme : 6,00 m (demande client). HSP bâtiment sur le plan : 8 m.</t>
        </r>
      </text>
    </comment>
    <comment ref="K5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6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7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8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9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0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1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2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3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4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5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6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7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8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  <comment ref="K19" authorId="0">
      <text>
        <r>
          <rPr>
            <sz val="10"/>
            <rFont val="Arial"/>
            <family val="2"/>
          </rPr>
          <t xml:space="preserve">Consigne (zones réfrigérées) ou ambiance d'été (autres zones). Hypothèse à confirmer.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1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2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3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3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3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F3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1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2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3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4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5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6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7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8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49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50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51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52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E53" authorId="0">
      <text>
        <r>
          <rPr>
            <sz val="10"/>
            <rFont val="Arial"/>
            <family val="2"/>
          </rPr>
          <t xml:space="preserve">Mesuré sur P1 RDC v8.dwg (RDC Modifié – implantation optimisée), entre nus intérieurs des murs</t>
        </r>
      </text>
    </comment>
    <comment ref="L5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6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7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8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9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0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1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2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3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4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5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6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7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8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19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0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1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2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3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4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5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6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7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8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29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0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1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2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3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4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5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6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7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8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39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0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1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2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3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4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5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6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7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8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49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50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51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52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  <comment ref="L53" authorId="0">
      <text>
        <r>
          <rPr>
            <sz val="10"/>
            <rFont val="Arial"/>
            <family val="2"/>
          </rPr>
          <t xml:space="preserve">U ≈ λ / épaisseur (résistances superficielles négligées). Paroi non isolée : 0 (non comptée).</t>
        </r>
      </text>
    </comment>
  </commentList>
</comments>
</file>

<file path=xl/sharedStrings.xml><?xml version="1.0" encoding="utf-8"?>
<sst xmlns="http://schemas.openxmlformats.org/spreadsheetml/2006/main" count="702" uniqueCount="408">
  <si>
    <t xml:space="preserve">Unité Humide – RDC Modifié (P1 RDC v8, implantation optimisée) : dimensions, panneaux sandwich et puissance frigorifique</t>
  </si>
  <si>
    <t xml:space="preserve">Contenu</t>
  </si>
  <si>
    <t xml:space="preserve">• Zones : dimensions de chaque zone (longueur, largeur, surface, périmètre, hauteur, volume), consigne, épaisseur de panneau.</t>
  </si>
  <si>
    <t xml:space="preserve">• Parois : chaque mur une seule fois avec ses deux côtés → métré des panneaux sans double comptage, et flux thermiques.</t>
  </si>
  <si>
    <t xml:space="preserve">• Portes : portes, traversées d'autoclaves et passages de convoyeurs / tunnel relevés sur le plan v8, surface déduite des murs.</t>
  </si>
  <si>
    <t xml:space="preserve">• Panneaux : quantités par épaisseur (murs + plafonds), chutes, prix, accessoires, portes → coût estimatif.</t>
  </si>
  <si>
    <t xml:space="preserve">• Bilan frigorifique : pré-dimensionnement de la puissance par zone réfrigérée.</t>
  </si>
  <si>
    <t xml:space="preserve">• Équipements : encombrements, poids, puissances et utilités des machines (documents fournisseurs).</t>
  </si>
  <si>
    <t xml:space="preserve">• Hypothèses : tous les paramètres modifiables (températures, λ, règles d'épaisseur, prix, hauteurs de portes).</t>
  </si>
  <si>
    <t xml:space="preserve">Légende des couleurs</t>
  </si>
  <si>
    <t xml:space="preserve">Texte bleu = valeur saisie (mesure sur plan ou hypothèse) · fond jaune = hypothèse à vérifier/ajuster · texte noir = formule · texte vert = lien vers une autre feuille.</t>
  </si>
  <si>
    <t xml:space="preserve">Points d'attention</t>
  </si>
  <si>
    <t xml:space="preserve">• Dimensions mesurées entre nus intérieurs des murs sur P1 RDC v8.dwg ; hauteur des panneaux et du faux-plafond isotherme = 6,00 m pour toutes les zones (HSP bâtiment 8 m) – modifiable zone par zone (colonne G de Zones).</t>
  </si>
  <si>
    <t xml:space="preserve">• Par défaut, sont réfrigérées : préparation viande (+10 °C), SAS quai (+5 °C), chambre positive (+2 °C) et chambre négative (−20 °C) ; passer une zone à « Oui » dans Zones pour l'inclure.</t>
  </si>
  <si>
    <t xml:space="preserve">• Toutes les zones sauf la circulation sont revêtues de panneaux par défaut (colonne « Panneaux ? » de Zones).</t>
  </si>
  <si>
    <t xml:space="preserve">• Prix des panneaux et des portes : EXEMPLES à remplacer par les devis fournisseurs.</t>
  </si>
  <si>
    <t xml:space="preserve">• Marche en avant : cru (Z9) → cuit non stérilisé (Z8, Z5, Z4) → autoclaves traversants (Z3) → stérilisé (Z2, Z1). Pas de mur entre Z4 et Z5 (zone ouverte).</t>
  </si>
  <si>
    <t xml:space="preserve">• Les autoclaves traversants supposent la version double porte de Steriflow (à confirmer) ; sinon revenir à l'implantation v7.</t>
  </si>
  <si>
    <t xml:space="preserve">Hypothèses et paramètres (cellules bleues sur fond jaune = à ajuster)</t>
  </si>
  <si>
    <t xml:space="preserve">Paramètres généraux</t>
  </si>
  <si>
    <t xml:space="preserve">Conductivité isolant λ (W/m.K)</t>
  </si>
  <si>
    <t xml:space="preserve">Mousse PIR/PUR courante 0,022–0,025 W/m.K ; vérifier la fiche du panneau retenu.</t>
  </si>
  <si>
    <t xml:space="preserve">Masse volumique de l'air ρ (kg/m³)</t>
  </si>
  <si>
    <t xml:space="preserve">Valeur usuelle.</t>
  </si>
  <si>
    <t xml:space="preserve">U sol isolé – chambres négatives (W/m².K)</t>
  </si>
  <si>
    <t xml:space="preserve">Dalle isolée + hors-gel ; à confirmer par le frigoriste.</t>
  </si>
  <si>
    <t xml:space="preserve">U sol non isolé (W/m².K)</t>
  </si>
  <si>
    <t xml:space="preserve">Dallage sur terre-plein non isolé (ordre de grandeur).</t>
  </si>
  <si>
    <t xml:space="preserve">Majoration (ventilateurs, dégivrage, sécurité)</t>
  </si>
  <si>
    <t xml:space="preserve">Pratique courante 15–25 % en pré-dimensionnement.</t>
  </si>
  <si>
    <t xml:space="preserve">Chutes / pertes panneaux</t>
  </si>
  <si>
    <t xml:space="preserve">Hypothèse ; dépend du calepinage.</t>
  </si>
  <si>
    <t xml:space="preserve">Accessoires (profils, joints, fixations) en % du coût panneaux</t>
  </si>
  <si>
    <t xml:space="preserve">Hypothèse ; à remplacer par le devis.</t>
  </si>
  <si>
    <t xml:space="preserve">Températures des ambiances voisines (été, °C)</t>
  </si>
  <si>
    <t xml:space="preserve">EXT – Extérieur (façades)</t>
  </si>
  <si>
    <t xml:space="preserve">Température de base été à Benguerir, à confirmer (données climatiques locales).</t>
  </si>
  <si>
    <t xml:space="preserve">TOIT – Sous toiture (au-dessus des plafonds)</t>
  </si>
  <si>
    <t xml:space="preserve">Air sous couverture métallique en été ; hypothèse.</t>
  </si>
  <si>
    <t xml:space="preserve">SOL – Sol / terre-plein</t>
  </si>
  <si>
    <t xml:space="preserve">Hypothèse.</t>
  </si>
  <si>
    <t xml:space="preserve">MPF – Magasin produit fini (voisin, mur ouest de l'emballage)</t>
  </si>
  <si>
    <t xml:space="preserve">ADM – Administration (mur sud des chambres)</t>
  </si>
  <si>
    <t xml:space="preserve">Bureaux climatisés ; hypothèse.</t>
  </si>
  <si>
    <t xml:space="preserve">ESC – Escalier</t>
  </si>
  <si>
    <t xml:space="preserve">Épaisseur de panneau selon la température de consigne</t>
  </si>
  <si>
    <t xml:space="preserve">Si consigne ≤ (°C)</t>
  </si>
  <si>
    <t xml:space="preserve">Épaisseur (mm)</t>
  </si>
  <si>
    <t xml:space="preserve">Prix (MAD/m²)</t>
  </si>
  <si>
    <t xml:space="preserve">Règle : 1re ligne dont le seuil ≥ consigne (ordre croissant). Prix = EXEMPLES à remplacer par les devis fournisseurs.</t>
  </si>
  <si>
    <t xml:space="preserve">Portes (dimensions et prix unitaires)</t>
  </si>
  <si>
    <t xml:space="preserve">Type</t>
  </si>
  <si>
    <t xml:space="preserve">Hauteur (m)</t>
  </si>
  <si>
    <t xml:space="preserve">Prix (MAD/u)</t>
  </si>
  <si>
    <t xml:space="preserve">Porte double</t>
  </si>
  <si>
    <t xml:space="preserve">Porte simple</t>
  </si>
  <si>
    <t xml:space="preserve">Porte sectionnelle (quai)</t>
  </si>
  <si>
    <t xml:space="preserve">Porte rapide</t>
  </si>
  <si>
    <t xml:space="preserve">Passage tunnel</t>
  </si>
  <si>
    <t xml:space="preserve">Traversée autoclave</t>
  </si>
  <si>
    <t xml:space="preserve">Passage convoyeur</t>
  </si>
  <si>
    <t xml:space="preserve">Hauteurs non cotées sur le plan : hypothèses. Prix = EXEMPLES, à remplacer.</t>
  </si>
  <si>
    <t xml:space="preserve">Table des ambiances (calculée – ne pas modifier)</t>
  </si>
  <si>
    <t xml:space="preserve">Code</t>
  </si>
  <si>
    <t xml:space="preserve">Température (°C)</t>
  </si>
  <si>
    <t xml:space="preserve">Panneaux ?</t>
  </si>
  <si>
    <t xml:space="preserve">EXT</t>
  </si>
  <si>
    <t xml:space="preserve">Non</t>
  </si>
  <si>
    <t xml:space="preserve">TOIT</t>
  </si>
  <si>
    <t xml:space="preserve">SOL</t>
  </si>
  <si>
    <t xml:space="preserve">MPF</t>
  </si>
  <si>
    <t xml:space="preserve">ADM</t>
  </si>
  <si>
    <t xml:space="preserve">ESC</t>
  </si>
  <si>
    <t xml:space="preserve">Dimensions des zones – Unité Humide (RDC Modifié)</t>
  </si>
  <si>
    <t xml:space="preserve">Mesuré sur P1 RDC v8.dwg (RDC Modifié – implantation optimisée), entre nus intérieurs des murs. Hauteur = hauteur des panneaux / faux-plafond isotherme : 6,00 m (HSP bâtiment 8 m).</t>
  </si>
  <si>
    <t xml:space="preserve">Zone</t>
  </si>
  <si>
    <t xml:space="preserve">Longueur N-S (m)</t>
  </si>
  <si>
    <t xml:space="preserve">Largeur E-O (m)</t>
  </si>
  <si>
    <t xml:space="preserve">Surface (m²)</t>
  </si>
  <si>
    <t xml:space="preserve">Périmètre (m)</t>
  </si>
  <si>
    <t xml:space="preserve">Hauteur panneaux (m)</t>
  </si>
  <si>
    <t xml:space="preserve">Volume (m³)</t>
  </si>
  <si>
    <t xml:space="preserve">Panneaux ? (Oui/Non)</t>
  </si>
  <si>
    <t xml:space="preserve">Réfrigérée ? (Oui/Non)</t>
  </si>
  <si>
    <t xml:space="preserve">Épaisseur panneau (mm)</t>
  </si>
  <si>
    <t xml:space="preserve">Surface murs nette autour de la zone (m²)</t>
  </si>
  <si>
    <t xml:space="preserve">Surface plafond panneaux (m²)</t>
  </si>
  <si>
    <t xml:space="preserve">Remarque</t>
  </si>
  <si>
    <t xml:space="preserve">Z1</t>
  </si>
  <si>
    <t xml:space="preserve">Salle d'emballage</t>
  </si>
  <si>
    <t xml:space="preserve">Oui</t>
  </si>
  <si>
    <t xml:space="preserve">Inchangée. Reçoit les boîtes du déchargeur par la porte est (convoyeur).</t>
  </si>
  <si>
    <t xml:space="preserve">Z2</t>
  </si>
  <si>
    <t xml:space="preserve">Zone de déchargement / refroidissement</t>
  </si>
  <si>
    <t xml:space="preserve">Côté STÉRILISÉ : portes nord des autoclaves, navette, stockage / ressuyage des paniers, déchargeur, retour paniers vides.</t>
  </si>
  <si>
    <t xml:space="preserve">Z3</t>
  </si>
  <si>
    <t xml:space="preserve">Zone de stérilisation</t>
  </si>
  <si>
    <t xml:space="preserve">6 autoclaves Steriflow 1300 traversants (double porte) côte à côte, portes dans les parois sud et nord ; 1,10 m côté circulation, 0,95 m entre autoclaves, 4,59 m côté façade (collecteurs + retour paniers vides).</t>
  </si>
  <si>
    <t xml:space="preserve">Z4</t>
  </si>
  <si>
    <t xml:space="preserve">Zone de chargement paniers</t>
  </si>
  <si>
    <t xml:space="preserve">Côté NON stérilisé : 2 chargeurs de paniers + navette devant les portes sud. Ouverte sur le sertissage (13,20 m).</t>
  </si>
  <si>
    <t xml:space="preserve">Z5</t>
  </si>
  <si>
    <t xml:space="preserve">Zone de sertissage / conditionnement</t>
  </si>
  <si>
    <t xml:space="preserve">L</t>
  </si>
  <si>
    <t xml:space="preserve">13,20 × 17,30 m moins dépalettisation et hygiène. Waldner Dosomat + ligne boîtes Zilli &amp; Bellini → SOMME.</t>
  </si>
  <si>
    <t xml:space="preserve">Z6</t>
  </si>
  <si>
    <t xml:space="preserve">Dépalettisation emballages vides</t>
  </si>
  <si>
    <t xml:space="preserve">Entrée depuis la circulation face au SAS marchandises (porte 2,00 m).</t>
  </si>
  <si>
    <t xml:space="preserve">Z7</t>
  </si>
  <si>
    <t xml:space="preserve">Hygiène zone cuite</t>
  </si>
  <si>
    <t xml:space="preserve">Lave-mains, pédiluve, changement de tenue.</t>
  </si>
  <si>
    <t xml:space="preserve">Z8</t>
  </si>
  <si>
    <t xml:space="preserve">Zone de cuisson / extrusion (ligne JBT)</t>
  </si>
  <si>
    <t xml:space="preserve">Tunnel vapeur JBT + refroid. + découpe ; réserve préparation sauce ; 2 extractions Ø356 en toiture (façade est).</t>
  </si>
  <si>
    <t xml:space="preserve">Z9</t>
  </si>
  <si>
    <t xml:space="preserve">Salle de préparation viande</t>
  </si>
  <si>
    <t xml:space="preserve">20,34 × 8,40 m + 9,99 × 2,20 m (entrée viande depuis le couloir) moins hygiène. Karl Schnell + frontal JBT.</t>
  </si>
  <si>
    <t xml:space="preserve">Z10</t>
  </si>
  <si>
    <t xml:space="preserve">Hygiène zone crue</t>
  </si>
  <si>
    <t xml:space="preserve">Seul accès du personnel à la zone crue.</t>
  </si>
  <si>
    <t xml:space="preserve">Z11</t>
  </si>
  <si>
    <t xml:space="preserve">Couloir</t>
  </si>
  <si>
    <t xml:space="preserve">Recoupé en deux par une cloison avec porte.</t>
  </si>
  <si>
    <t xml:space="preserve">Z12</t>
  </si>
  <si>
    <t xml:space="preserve">SAS quai réfrigéré</t>
  </si>
  <si>
    <t xml:space="preserve">Nouveau : la porte sectionnelle du quai donne dans ce SAS (+5 °C) et non plus dans la chambre négative ; porte rapide 2,40 m vers la chambre.</t>
  </si>
  <si>
    <t xml:space="preserve">Z13</t>
  </si>
  <si>
    <t xml:space="preserve">Chambre négative</t>
  </si>
  <si>
    <t xml:space="preserve">Réduite par le SAS quai (4,10 × 11,12 m).</t>
  </si>
  <si>
    <t xml:space="preserve">Z14</t>
  </si>
  <si>
    <t xml:space="preserve">Chambre positive</t>
  </si>
  <si>
    <t xml:space="preserve">Z15</t>
  </si>
  <si>
    <t xml:space="preserve">Circulation Unité Humide (hors SAS)</t>
  </si>
  <si>
    <t xml:space="preserve">Bande de 4,00 m le long de la façade ouest + passage vers l'escalier ; hors 2 SAS (2 × 9,35 m²).</t>
  </si>
  <si>
    <t xml:space="preserve">TOTAL</t>
  </si>
  <si>
    <t xml:space="preserve">Portes de l'Unité Humide</t>
  </si>
  <si>
    <t xml:space="preserve">Mesuré sur P1 RDC v8.dwg (RDC Modifié – implantation optimisée), entre nus intérieurs des murs. Largeur = passage mesuré (blocs « Porte double 25 » = 1,40 m).</t>
  </si>
  <si>
    <t xml:space="preserve">N°</t>
  </si>
  <si>
    <t xml:space="preserve">Zone A</t>
  </si>
  <si>
    <t xml:space="preserve">Zone B</t>
  </si>
  <si>
    <t xml:space="preserve">Paroi</t>
  </si>
  <si>
    <t xml:space="preserve">Largeur (m)</t>
  </si>
  <si>
    <t xml:space="preserve">D01</t>
  </si>
  <si>
    <t xml:space="preserve">P02</t>
  </si>
  <si>
    <t xml:space="preserve">Ouverture vers le magasin produit fini.</t>
  </si>
  <si>
    <t xml:space="preserve">D02</t>
  </si>
  <si>
    <t xml:space="preserve">P05</t>
  </si>
  <si>
    <t xml:space="preserve">Porte est existante ; passage du convoyeur déchargeur → emballage.</t>
  </si>
  <si>
    <t xml:space="preserve">D03</t>
  </si>
  <si>
    <t xml:space="preserve">P07</t>
  </si>
  <si>
    <t xml:space="preserve">6 × 1,49 m : portes nord des autoclaves (étanchéité inox autour des virolles).</t>
  </si>
  <si>
    <t xml:space="preserve">D04</t>
  </si>
  <si>
    <t xml:space="preserve">P09</t>
  </si>
  <si>
    <t xml:space="preserve">6 × 1,49 m : portes sud des autoclaves.</t>
  </si>
  <si>
    <t xml:space="preserve">D05</t>
  </si>
  <si>
    <t xml:space="preserve">Retour paniers vides (nord).</t>
  </si>
  <si>
    <t xml:space="preserve">D06</t>
  </si>
  <si>
    <t xml:space="preserve">Retour paniers vides (sud).</t>
  </si>
  <si>
    <t xml:space="preserve">D07</t>
  </si>
  <si>
    <t xml:space="preserve">P11</t>
  </si>
  <si>
    <t xml:space="preserve">Accès technique stérilisation.</t>
  </si>
  <si>
    <t xml:space="preserve">D08</t>
  </si>
  <si>
    <t xml:space="preserve">P08</t>
  </si>
  <si>
    <t xml:space="preserve">D09</t>
  </si>
  <si>
    <t xml:space="preserve">P20</t>
  </si>
  <si>
    <t xml:space="preserve">Face au SAS marchandises (transpalette).</t>
  </si>
  <si>
    <t xml:space="preserve">D10</t>
  </si>
  <si>
    <t xml:space="preserve">P19</t>
  </si>
  <si>
    <t xml:space="preserve">D11</t>
  </si>
  <si>
    <t xml:space="preserve">Convoyeur emballages vides.</t>
  </si>
  <si>
    <t xml:space="preserve">D12</t>
  </si>
  <si>
    <t xml:space="preserve">P22</t>
  </si>
  <si>
    <t xml:space="preserve">D13</t>
  </si>
  <si>
    <t xml:space="preserve">P21</t>
  </si>
  <si>
    <t xml:space="preserve">D14</t>
  </si>
  <si>
    <t xml:space="preserve">P15</t>
  </si>
  <si>
    <t xml:space="preserve">D15</t>
  </si>
  <si>
    <t xml:space="preserve">Convoyeur morceaux découpe → remplisseuse.</t>
  </si>
  <si>
    <t xml:space="preserve">D16</t>
  </si>
  <si>
    <t xml:space="preserve">P18</t>
  </si>
  <si>
    <t xml:space="preserve">Traversée JBT extrudeuse → tunnel (calfeutrement étanche) ; aucune porte crue → cuite.</t>
  </si>
  <si>
    <t xml:space="preserve">D17</t>
  </si>
  <si>
    <t xml:space="preserve">P32</t>
  </si>
  <si>
    <t xml:space="preserve">D18</t>
  </si>
  <si>
    <t xml:space="preserve">P31</t>
  </si>
  <si>
    <t xml:space="preserve">D19</t>
  </si>
  <si>
    <t xml:space="preserve">P30</t>
  </si>
  <si>
    <t xml:space="preserve">Entrée viande depuis les chambres.</t>
  </si>
  <si>
    <t xml:space="preserve">D20</t>
  </si>
  <si>
    <t xml:space="preserve">P37</t>
  </si>
  <si>
    <t xml:space="preserve">Cloison intérieure du couloir.</t>
  </si>
  <si>
    <t xml:space="preserve">D21</t>
  </si>
  <si>
    <t xml:space="preserve">P38</t>
  </si>
  <si>
    <t xml:space="preserve">Porte est de la chambre négative.</t>
  </si>
  <si>
    <t xml:space="preserve">D22</t>
  </si>
  <si>
    <t xml:space="preserve">P39</t>
  </si>
  <si>
    <t xml:space="preserve">Ancienne porte ouest de la chambre négative → SAS quai.</t>
  </si>
  <si>
    <t xml:space="preserve">D23</t>
  </si>
  <si>
    <t xml:space="preserve">P40</t>
  </si>
  <si>
    <t xml:space="preserve">D24</t>
  </si>
  <si>
    <t xml:space="preserve">P42</t>
  </si>
  <si>
    <t xml:space="preserve">Quai de déchargement (inchangé) → SAS quai réfrigéré.</t>
  </si>
  <si>
    <t xml:space="preserve">D25</t>
  </si>
  <si>
    <t xml:space="preserve">P44</t>
  </si>
  <si>
    <t xml:space="preserve">Porte rapide isotherme SAS quai → chambre négative.</t>
  </si>
  <si>
    <t xml:space="preserve">D26</t>
  </si>
  <si>
    <t xml:space="preserve">P48</t>
  </si>
  <si>
    <t xml:space="preserve">SAS nord – porte de façade.</t>
  </si>
  <si>
    <t xml:space="preserve">D27</t>
  </si>
  <si>
    <t xml:space="preserve">SAS sud – porte de façade.</t>
  </si>
  <si>
    <t xml:space="preserve">D28</t>
  </si>
  <si>
    <t xml:space="preserve">P49</t>
  </si>
  <si>
    <t xml:space="preserve">SAS nord – porte intérieure.</t>
  </si>
  <si>
    <t xml:space="preserve">D29</t>
  </si>
  <si>
    <t xml:space="preserve">SAS sud – porte intérieure.</t>
  </si>
  <si>
    <t xml:space="preserve">Parois (chaque mur compté une seule fois) – longueurs mesurées sur le plan</t>
  </si>
  <si>
    <t xml:space="preserve">Mesuré sur P1 RDC v8.dwg (RDC Modifié – implantation optimisée), entre nus intérieurs des murs. Hauteur = max des hauteurs des zones de part et d'autre ; épaisseur = max des épaisseurs requises ; Q = flux entrant par la paroi (W) vers la zone la plus froide.</t>
  </si>
  <si>
    <t xml:space="preserve">Description</t>
  </si>
  <si>
    <t xml:space="preserve">Longueur (m)</t>
  </si>
  <si>
    <t xml:space="preserve">Surface brute (m²)</t>
  </si>
  <si>
    <t xml:space="preserve">Surface portes (m²)</t>
  </si>
  <si>
    <t xml:space="preserve">Surface nette (m²)</t>
  </si>
  <si>
    <t xml:space="preserve">U (W/m².K)</t>
  </si>
  <si>
    <t xml:space="preserve">T zone A (°C)</t>
  </si>
  <si>
    <t xml:space="preserve">T zone B (°C)</t>
  </si>
  <si>
    <t xml:space="preserve">Flux vers A (W)</t>
  </si>
  <si>
    <t xml:space="preserve">Flux vers B (W)</t>
  </si>
  <si>
    <t xml:space="preserve">P01</t>
  </si>
  <si>
    <t xml:space="preserve">Emballage – façade nord</t>
  </si>
  <si>
    <t xml:space="preserve">Emballage – mur ouest (magasin produit fini)</t>
  </si>
  <si>
    <t xml:space="preserve">P03</t>
  </si>
  <si>
    <t xml:space="preserve">Emballage – façade est</t>
  </si>
  <si>
    <t xml:space="preserve">P04</t>
  </si>
  <si>
    <t xml:space="preserve">Emballage / circulation</t>
  </si>
  <si>
    <t xml:space="preserve">Emballage / déchargement</t>
  </si>
  <si>
    <t xml:space="preserve">P06</t>
  </si>
  <si>
    <t xml:space="preserve">Déchargement – façade est</t>
  </si>
  <si>
    <t xml:space="preserve">Déchargement / stérilisation (portes nord autoclaves)</t>
  </si>
  <si>
    <t xml:space="preserve">Déchargement / circulation</t>
  </si>
  <si>
    <t xml:space="preserve">Stérilisation / chargement (portes sud autoclaves)</t>
  </si>
  <si>
    <t xml:space="preserve">P10</t>
  </si>
  <si>
    <t xml:space="preserve">Stérilisation – façade est</t>
  </si>
  <si>
    <t xml:space="preserve">Stérilisation / circulation</t>
  </si>
  <si>
    <t xml:space="preserve">P12</t>
  </si>
  <si>
    <t xml:space="preserve">Chargement – façade est</t>
  </si>
  <si>
    <t xml:space="preserve">P13</t>
  </si>
  <si>
    <t xml:space="preserve">Chargement / circulation</t>
  </si>
  <si>
    <t xml:space="preserve">P14</t>
  </si>
  <si>
    <t xml:space="preserve">Chargement / cuisson</t>
  </si>
  <si>
    <t xml:space="preserve">Sertissage / cuisson</t>
  </si>
  <si>
    <t xml:space="preserve">P16</t>
  </si>
  <si>
    <t xml:space="preserve">Sertissage / préparation viande</t>
  </si>
  <si>
    <t xml:space="preserve">P17</t>
  </si>
  <si>
    <t xml:space="preserve">Dépalettisation / préparation viande</t>
  </si>
  <si>
    <t xml:space="preserve">Cuisson / préparation viande (traversée JBT)</t>
  </si>
  <si>
    <t xml:space="preserve">Sertissage / dépalettisation</t>
  </si>
  <si>
    <t xml:space="preserve">Dépalettisation / circulation</t>
  </si>
  <si>
    <t xml:space="preserve">Sertissage / hygiène zone cuite</t>
  </si>
  <si>
    <t xml:space="preserve">Hygiène zone cuite / circulation</t>
  </si>
  <si>
    <t xml:space="preserve">P23</t>
  </si>
  <si>
    <t xml:space="preserve">Sertissage / circulation</t>
  </si>
  <si>
    <t xml:space="preserve">P24</t>
  </si>
  <si>
    <t xml:space="preserve">Cuisson – façade est</t>
  </si>
  <si>
    <t xml:space="preserve">P25</t>
  </si>
  <si>
    <t xml:space="preserve">Préparation viande – façade est</t>
  </si>
  <si>
    <t xml:space="preserve">P26</t>
  </si>
  <si>
    <t xml:space="preserve">Préparation viande / circulation (ouest)</t>
  </si>
  <si>
    <t xml:space="preserve">P27</t>
  </si>
  <si>
    <t xml:space="preserve">Préparation viande / passage escalier (sud)</t>
  </si>
  <si>
    <t xml:space="preserve">P28</t>
  </si>
  <si>
    <t xml:space="preserve">Escalier / préparation viande (sud)</t>
  </si>
  <si>
    <t xml:space="preserve">P29</t>
  </si>
  <si>
    <t xml:space="preserve">Escalier / préparation viande (est)</t>
  </si>
  <si>
    <t xml:space="preserve">Préparation viande / couloir</t>
  </si>
  <si>
    <t xml:space="preserve">Préparation viande / hygiène zone crue</t>
  </si>
  <si>
    <t xml:space="preserve">Hygiène zone crue / circulation</t>
  </si>
  <si>
    <t xml:space="preserve">P33</t>
  </si>
  <si>
    <t xml:space="preserve">Circulation / couloir</t>
  </si>
  <si>
    <t xml:space="preserve">P34</t>
  </si>
  <si>
    <t xml:space="preserve">Escalier / couloir</t>
  </si>
  <si>
    <t xml:space="preserve">P35</t>
  </si>
  <si>
    <t xml:space="preserve">Couloir – façade ouest</t>
  </si>
  <si>
    <t xml:space="preserve">P36</t>
  </si>
  <si>
    <t xml:space="preserve">Couloir – façade est</t>
  </si>
  <si>
    <t xml:space="preserve">Cloison intérieure du couloir</t>
  </si>
  <si>
    <t xml:space="preserve">Couloir / chambre négative</t>
  </si>
  <si>
    <t xml:space="preserve">Couloir / SAS quai</t>
  </si>
  <si>
    <t xml:space="preserve">Couloir / chambre positive</t>
  </si>
  <si>
    <t xml:space="preserve">P41</t>
  </si>
  <si>
    <t xml:space="preserve">Chambre négative / chambre positive</t>
  </si>
  <si>
    <t xml:space="preserve">SAS quai – façade ouest (porte de quai)</t>
  </si>
  <si>
    <t xml:space="preserve">P43</t>
  </si>
  <si>
    <t xml:space="preserve">Chambre négative – façade ouest</t>
  </si>
  <si>
    <t xml:space="preserve">SAS quai / chambre négative (est + sud)</t>
  </si>
  <si>
    <t xml:space="preserve">P45</t>
  </si>
  <si>
    <t xml:space="preserve">Chambre négative / administration (sud)</t>
  </si>
  <si>
    <t xml:space="preserve">P46</t>
  </si>
  <si>
    <t xml:space="preserve">Chambre positive / administration (sud)</t>
  </si>
  <si>
    <t xml:space="preserve">P47</t>
  </si>
  <si>
    <t xml:space="preserve">Chambre positive – façade est</t>
  </si>
  <si>
    <t xml:space="preserve">Circulation – façade ouest</t>
  </si>
  <si>
    <t xml:space="preserve">Parois des 2 SAS (2 × (2 × 2,60 + 3,60))</t>
  </si>
  <si>
    <t xml:space="preserve">Pas de paroi entre Z4 (chargement paniers) et Z5 (sertissage) : zone ouverte sur 13,20 m.</t>
  </si>
  <si>
    <t xml:space="preserve">Métré et estimation des panneaux sandwich</t>
  </si>
  <si>
    <t xml:space="preserve">Murs : feuille Parois (chaque mur une fois) ; plafonds : feuille Zones. Prix : feuille Hypothèses (EXEMPLES à remplacer).</t>
  </si>
  <si>
    <t xml:space="preserve">Murs (m²)</t>
  </si>
  <si>
    <t xml:space="preserve">Plafonds (m²)</t>
  </si>
  <si>
    <t xml:space="preserve">Total net (m²)</t>
  </si>
  <si>
    <t xml:space="preserve">Avec chutes (m²)</t>
  </si>
  <si>
    <t xml:space="preserve">Coût panneaux (MAD)</t>
  </si>
  <si>
    <t xml:space="preserve">Accessoires</t>
  </si>
  <si>
    <t xml:space="preserve">Portes – type</t>
  </si>
  <si>
    <t xml:space="preserve">Nombre</t>
  </si>
  <si>
    <t xml:space="preserve">Coût (MAD)</t>
  </si>
  <si>
    <t xml:space="preserve">TOTAL portes</t>
  </si>
  <si>
    <t xml:space="preserve">TOTAL panneaux + accessoires + portes (MAD HT)</t>
  </si>
  <si>
    <t xml:space="preserve">Pré-dimensionnement de la puissance frigorifique (été) – à valider par un frigoriste</t>
  </si>
  <si>
    <t xml:space="preserve">Méthode : apports par parois + plafond + sol + renouvellement d'air + personnes + éclairage + équipements + produit, majorés, ramenés à la durée de fonctionnement des compresseurs. Zones « Réfrigérée = Non » : 0.</t>
  </si>
  <si>
    <t xml:space="preserve">Réfrigérée</t>
  </si>
  <si>
    <t xml:space="preserve">T (°C)</t>
  </si>
  <si>
    <t xml:space="preserve">Parois (W)</t>
  </si>
  <si>
    <t xml:space="preserve">Plafond (W)</t>
  </si>
  <si>
    <t xml:space="preserve">Sol (W)</t>
  </si>
  <si>
    <t xml:space="preserve">Renouv. d'air (/24 h)</t>
  </si>
  <si>
    <t xml:space="preserve">Δh air (kJ/kg)</t>
  </si>
  <si>
    <t xml:space="preserve">Air (W)</t>
  </si>
  <si>
    <t xml:space="preserve">Personnes (nb)</t>
  </si>
  <si>
    <t xml:space="preserve">Chaleur / pers. (W)</t>
  </si>
  <si>
    <t xml:space="preserve">Présence (h/j)</t>
  </si>
  <si>
    <t xml:space="preserve">Personnes (W)</t>
  </si>
  <si>
    <t xml:space="preserve">Éclairage (W/m²)</t>
  </si>
  <si>
    <t xml:space="preserve">Éclairage (h/j)</t>
  </si>
  <si>
    <t xml:space="preserve">Éclairage (W)</t>
  </si>
  <si>
    <t xml:space="preserve">Équipements (W)</t>
  </si>
  <si>
    <t xml:space="preserve">Produit (kg/j)</t>
  </si>
  <si>
    <t xml:space="preserve">T entrée produit (°C)</t>
  </si>
  <si>
    <t xml:space="preserve">cp produit (kJ/kg.K)</t>
  </si>
  <si>
    <t xml:space="preserve">Latente (kJ/kg)</t>
  </si>
  <si>
    <t xml:space="preserve">Durée refroid. (h)</t>
  </si>
  <si>
    <t xml:space="preserve">Produit (W)</t>
  </si>
  <si>
    <t xml:space="preserve">Total apports (W)</t>
  </si>
  <si>
    <t xml:space="preserve">Fonctionnement (h/j)</t>
  </si>
  <si>
    <t xml:space="preserve">Puissance frigorifique (kW)</t>
  </si>
  <si>
    <t xml:space="preserve">TOTAL zones réfrigérées</t>
  </si>
  <si>
    <t xml:space="preserve">Sources et hypothèses :</t>
  </si>
  <si>
    <t xml:space="preserve">• Chaleur dégagée par personne selon la température : ASHRAE Handbook – Refrigeration, chap. « Refrigerated-Facility Loads » (≈ 210 W à +10 °C, 270 W à 0 °C, 390 W à −20 °C).</t>
  </si>
  <si>
    <t xml:space="preserve">• Δh air : air extérieur 35 °C / 40 % HR (h ≈ 72 kJ/kg) ; −20 °C : h ≈ −18 ; +2 °C / 85 % : h ≈ 11 ; +10 °C / 80 % : h ≈ 26 kJ/kg.</t>
  </si>
  <si>
    <t xml:space="preserve">• Renouvellements d'air, personnes, éclairage, équipements, produit : valeurs d'EXEMPLE à remplacer par les données d'exploitation (tonnages journaliers, températures d'arrivée, temps de refroidissement).</t>
  </si>
  <si>
    <t xml:space="preserve">• Produit Z13 : 10 t/j de viande congelée arrivant à −12 °C (cp 1,7 kJ/kg.K) ; Z14 : 5 t/j arrivant à +7 °C (cp 3,2). Z12 (SAS quai) : 20 renouvellements/j pour les ouvertures de la porte de quai (hypothèse). Mettre la chaleur latente (≈ 230 kJ/kg) si la chambre doit congeler du produit frais.</t>
  </si>
  <si>
    <t xml:space="preserve">• Résultat = puissance frigorifique utile à l'évaporateur ; la puissance électrique absorbée dépend du COP de l'installation.</t>
  </si>
  <si>
    <t xml:space="preserve">Équipements process – encombrements et utilités (d'après les documents fournisseurs)</t>
  </si>
  <si>
    <t xml:space="preserve">Valeurs saisies telles qu'indiquées par les fournisseurs (mm, kg, kW). Vide = non communiqué. « est. » = estimé sur plan.</t>
  </si>
  <si>
    <t xml:space="preserve">Équipement</t>
  </si>
  <si>
    <t xml:space="preserve">Qté</t>
  </si>
  <si>
    <t xml:space="preserve">Longueur (mm)</t>
  </si>
  <si>
    <t xml:space="preserve">Largeur (mm)</t>
  </si>
  <si>
    <t xml:space="preserve">Hauteur (mm)</t>
  </si>
  <si>
    <t xml:space="preserve">Poids unit. (kg)</t>
  </si>
  <si>
    <t xml:space="preserve">Puissance unit. (kW)</t>
  </si>
  <si>
    <t xml:space="preserve">Puissance totale (kW)</t>
  </si>
  <si>
    <t xml:space="preserve">Air comprimé</t>
  </si>
  <si>
    <t xml:space="preserve">Eau / vapeur</t>
  </si>
  <si>
    <t xml:space="preserve">Bruit (dB)</t>
  </si>
  <si>
    <t xml:space="preserve">Remarques</t>
  </si>
  <si>
    <t xml:space="preserve">Source</t>
  </si>
  <si>
    <t xml:space="preserve">Karl Schnell – mélangeur 1500 + trémie 2000 + émulsionneur FD225 DK</t>
  </si>
  <si>
    <t xml:space="preserve">Groupe complet avec plateforme et élévateur (hauteur maxi 4 903 au basculement)</t>
  </si>
  <si>
    <t xml:space="preserve">Karl Schnell 24_001-G (18.03.2025)</t>
  </si>
  <si>
    <t xml:space="preserve">Karl Schnell – hachoir automatique AG-K280 T470 + élévateur + chariot</t>
  </si>
  <si>
    <t xml:space="preserve">Zone de maintenance devant la machine</t>
  </si>
  <si>
    <t xml:space="preserve">Karl Schnell 24_001-G</t>
  </si>
  <si>
    <t xml:space="preserve">Karl Schnell – armoire électrique</t>
  </si>
  <si>
    <t xml:space="preserve">JBT FTNON – trémie émulsion 1000 L</t>
  </si>
  <si>
    <t xml:space="preserve">Ø 1 800</t>
  </si>
  <si>
    <t xml:space="preserve">JBT 05X0292.000 rev. A</t>
  </si>
  <si>
    <t xml:space="preserve">Z9/Z8</t>
  </si>
  <si>
    <t xml:space="preserve">JBT FTNON – extrudeuse 800 + tunnel vapeur 800×8000</t>
  </si>
  <si>
    <t xml:space="preserve">Vapeur</t>
  </si>
  <si>
    <t xml:space="preserve">Largeur capot ouvert 3 056 ; 2 extractions Ø356 ; traversée étanche de la paroi Z9/Z8</t>
  </si>
  <si>
    <t xml:space="preserve">JBT FTNON – convoyeur de refroidissement 800×4000 + découpe</t>
  </si>
  <si>
    <t xml:space="preserve">Longueur est. (convoyeur 4 000 + découpe ~2 000)</t>
  </si>
  <si>
    <t xml:space="preserve">JBT 05X0292.000 (est. à l'échelle)</t>
  </si>
  <si>
    <t xml:space="preserve">Waldner Dosomat 12.6 – 13308 (barquettes alu)</t>
  </si>
  <si>
    <t xml:space="preserve">600 l/min à 6 bar, 1/2"</t>
  </si>
  <si>
    <t xml:space="preserve">Eau 60 l/h</t>
  </si>
  <si>
    <t xml:space="preserve">Encombrement porte armoire comprise ; dimensions d'introduction 3 600 × 2 950 × 2 500</t>
  </si>
  <si>
    <t xml:space="preserve">Waldner 100594254 (23.07.2026)</t>
  </si>
  <si>
    <t xml:space="preserve">SOMME PE-6 MIX – sertisseuse boîtes Ø73–99</t>
  </si>
  <si>
    <t xml:space="preserve">3–4 bar ; 80 l/h à 6 bar (à vérifier)</t>
  </si>
  <si>
    <t xml:space="preserve">Entrée/sortie boîtes à 1 000 mm ; 50–200 b/min recommandé, 250 maxi (demande 220)</t>
  </si>
  <si>
    <t xml:space="preserve">Somme offre 42400084/00 (13.05.2024)</t>
  </si>
  <si>
    <t xml:space="preserve">Zilli &amp; Bellini – remplisseuse à poches TB (12 ou 16 télescopes, à confirmer)</t>
  </si>
  <si>
    <t xml:space="preserve">400 Nl/min à 6 bar, 1/2" G</t>
  </si>
  <si>
    <t xml:space="preserve">Exclus (vapeur, eau, CIP)</t>
  </si>
  <si>
    <t xml:space="preserve">Carter 2 630 × 2 500 ; portes ouvertes 4 930 × 4 350 ; convoyeur boîtes à 1 100 ± 50 (sertisseuse à 1 000) ; 80 b/min (400 g), 30 b/min (1 250 g) ; armoire séparée à 2–3 m ; tension 50 Hz à confirmer (offre : 60 Hz)</t>
  </si>
  <si>
    <t xml:space="preserve">Zilli &amp; Bellini O24/450 + LAY00537 (01/08/2024)</t>
  </si>
  <si>
    <t xml:space="preserve">Chargeur de paniers (réserve)</t>
  </si>
  <si>
    <t xml:space="preserve">Un par ligne (Dosomat, boîtes) ; navette de transfert devant les 6 portes sud</t>
  </si>
  <si>
    <t xml:space="preserve">—</t>
  </si>
  <si>
    <t xml:space="preserve">Steriflow – stérilisateur 1300 (LU 5 530), version double porte à confirmer</t>
  </si>
  <si>
    <t xml:space="preserve">AAC 1"1/2, SAC 1"</t>
  </si>
  <si>
    <t xml:space="preserve">Vapeur DN50, eau froide DN50</t>
  </si>
  <si>
    <t xml:space="preserve">Largeur est. ~1 650 (1 510 démonté) ; poids plein d'eau 10 350 daN ; le devis actuel est à porte simple : demander la version traversante (2 portes)</t>
  </si>
  <si>
    <t xml:space="preserve">Steriflow SC-NG2-1361 rév. B</t>
  </si>
  <si>
    <t xml:space="preserve">Déchargeur de paniers (réserve)</t>
  </si>
  <si>
    <t xml:space="preserve">Sortie vers l'emballage par la porte est</t>
  </si>
  <si>
    <t xml:space="preserve">TOTAL puissance connue (kW)</t>
  </si>
  <si>
    <t xml:space="preserve">Charge totale connue (kg, autoclaves pleins d'eau)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</si>
</sst>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%"/>
    <numFmt numFmtId="167" formatCode="0"/>
    <numFmt numFmtId="168" formatCode="#,##0"/>
    <numFmt numFmtId="169" formatCode="0.00"/>
    <numFmt numFmtId="170" formatCode="#,##0.00"/>
    <numFmt numFmtId="171" formatCode="0.0"/>
    <numFmt numFmtId="172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4" t="s">
        <v>18</v>
      </c>
    </row>
    <row r="3" customFormat="false" ht="15" hidden="false" customHeight="false" outlineLevel="0" collapsed="false">
      <c r="A3" s="5" t="s">
        <v>19</v>
      </c>
    </row>
    <row r="4" customFormat="false" ht="15" hidden="false" customHeight="false" outlineLevel="0" collapsed="false">
      <c r="A4" s="6" t="s">
        <v>20</v>
      </c>
      <c r="B4" s="7" t="n">
        <v>0.022</v>
      </c>
      <c r="D4" s="8" t="s">
        <v>21</v>
      </c>
    </row>
    <row r="5" customFormat="false" ht="15" hidden="false" customHeight="false" outlineLevel="0" collapsed="false">
      <c r="A5" s="6" t="s">
        <v>22</v>
      </c>
      <c r="B5" s="7" t="n">
        <v>1.2</v>
      </c>
      <c r="D5" s="8" t="s">
        <v>23</v>
      </c>
    </row>
    <row r="6" customFormat="false" ht="15" hidden="false" customHeight="false" outlineLevel="0" collapsed="false">
      <c r="A6" s="6" t="s">
        <v>24</v>
      </c>
      <c r="B6" s="7" t="n">
        <v>0.25</v>
      </c>
      <c r="D6" s="8" t="s">
        <v>25</v>
      </c>
    </row>
    <row r="7" customFormat="false" ht="15" hidden="false" customHeight="false" outlineLevel="0" collapsed="false">
      <c r="A7" s="6" t="s">
        <v>26</v>
      </c>
      <c r="B7" s="7" t="n">
        <v>0.6</v>
      </c>
      <c r="D7" s="8" t="s">
        <v>27</v>
      </c>
    </row>
    <row r="8" customFormat="false" ht="15" hidden="false" customHeight="false" outlineLevel="0" collapsed="false">
      <c r="A8" s="6" t="s">
        <v>28</v>
      </c>
      <c r="B8" s="9" t="n">
        <v>0.2</v>
      </c>
      <c r="D8" s="8" t="s">
        <v>29</v>
      </c>
    </row>
    <row r="9" customFormat="false" ht="15" hidden="false" customHeight="false" outlineLevel="0" collapsed="false">
      <c r="A9" s="6" t="s">
        <v>30</v>
      </c>
      <c r="B9" s="9" t="n">
        <v>0.05</v>
      </c>
      <c r="D9" s="8" t="s">
        <v>31</v>
      </c>
    </row>
    <row r="10" customFormat="false" ht="15" hidden="false" customHeight="false" outlineLevel="0" collapsed="false">
      <c r="A10" s="6" t="s">
        <v>32</v>
      </c>
      <c r="B10" s="9" t="n">
        <v>0.15</v>
      </c>
      <c r="D10" s="8" t="s">
        <v>33</v>
      </c>
    </row>
    <row r="12" customFormat="false" ht="15" hidden="false" customHeight="false" outlineLevel="0" collapsed="false">
      <c r="A12" s="5" t="s">
        <v>34</v>
      </c>
    </row>
    <row r="13" customFormat="false" ht="15" hidden="false" customHeight="false" outlineLevel="0" collapsed="false">
      <c r="A13" s="6" t="s">
        <v>35</v>
      </c>
      <c r="B13" s="10" t="n">
        <v>40</v>
      </c>
      <c r="D13" s="8" t="s">
        <v>36</v>
      </c>
    </row>
    <row r="14" customFormat="false" ht="15" hidden="false" customHeight="false" outlineLevel="0" collapsed="false">
      <c r="A14" s="6" t="s">
        <v>37</v>
      </c>
      <c r="B14" s="10" t="n">
        <v>40</v>
      </c>
      <c r="D14" s="8" t="s">
        <v>38</v>
      </c>
    </row>
    <row r="15" customFormat="false" ht="15" hidden="false" customHeight="false" outlineLevel="0" collapsed="false">
      <c r="A15" s="6" t="s">
        <v>39</v>
      </c>
      <c r="B15" s="10" t="n">
        <v>20</v>
      </c>
      <c r="D15" s="8" t="s">
        <v>40</v>
      </c>
    </row>
    <row r="16" customFormat="false" ht="15" hidden="false" customHeight="false" outlineLevel="0" collapsed="false">
      <c r="A16" s="6" t="s">
        <v>41</v>
      </c>
      <c r="B16" s="10" t="n">
        <v>30</v>
      </c>
      <c r="D16" s="8" t="s">
        <v>40</v>
      </c>
    </row>
    <row r="17" customFormat="false" ht="15" hidden="false" customHeight="false" outlineLevel="0" collapsed="false">
      <c r="A17" s="6" t="s">
        <v>42</v>
      </c>
      <c r="B17" s="10" t="n">
        <v>25</v>
      </c>
      <c r="D17" s="8" t="s">
        <v>43</v>
      </c>
    </row>
    <row r="18" customFormat="false" ht="15" hidden="false" customHeight="false" outlineLevel="0" collapsed="false">
      <c r="A18" s="6" t="s">
        <v>44</v>
      </c>
      <c r="B18" s="10" t="n">
        <v>30</v>
      </c>
      <c r="D18" s="8" t="s">
        <v>40</v>
      </c>
    </row>
    <row r="20" customFormat="false" ht="15" hidden="false" customHeight="false" outlineLevel="0" collapsed="false">
      <c r="A20" s="5" t="s">
        <v>45</v>
      </c>
    </row>
    <row r="21" customFormat="false" ht="15" hidden="false" customHeight="false" outlineLevel="0" collapsed="false">
      <c r="A21" s="11" t="s">
        <v>46</v>
      </c>
      <c r="B21" s="11" t="s">
        <v>47</v>
      </c>
      <c r="C21" s="11" t="s">
        <v>48</v>
      </c>
    </row>
    <row r="22" customFormat="false" ht="15" hidden="false" customHeight="false" outlineLevel="0" collapsed="false">
      <c r="A22" s="10" t="n">
        <v>-15</v>
      </c>
      <c r="B22" s="10" t="n">
        <v>150</v>
      </c>
      <c r="C22" s="12" t="n">
        <v>420</v>
      </c>
    </row>
    <row r="23" customFormat="false" ht="15" hidden="false" customHeight="false" outlineLevel="0" collapsed="false">
      <c r="A23" s="10" t="n">
        <v>5</v>
      </c>
      <c r="B23" s="10" t="n">
        <v>100</v>
      </c>
      <c r="C23" s="12" t="n">
        <v>330</v>
      </c>
    </row>
    <row r="24" customFormat="false" ht="15" hidden="false" customHeight="false" outlineLevel="0" collapsed="false">
      <c r="A24" s="10" t="n">
        <v>15</v>
      </c>
      <c r="B24" s="10" t="n">
        <v>80</v>
      </c>
      <c r="C24" s="12" t="n">
        <v>290</v>
      </c>
    </row>
    <row r="25" customFormat="false" ht="15" hidden="false" customHeight="false" outlineLevel="0" collapsed="false">
      <c r="A25" s="10" t="n">
        <v>99</v>
      </c>
      <c r="B25" s="10" t="n">
        <v>60</v>
      </c>
      <c r="C25" s="12" t="n">
        <v>250</v>
      </c>
    </row>
    <row r="26" customFormat="false" ht="15" hidden="false" customHeight="false" outlineLevel="0" collapsed="false">
      <c r="A26" s="13" t="s">
        <v>49</v>
      </c>
    </row>
    <row r="28" customFormat="false" ht="15" hidden="false" customHeight="false" outlineLevel="0" collapsed="false">
      <c r="A28" s="5" t="s">
        <v>50</v>
      </c>
    </row>
    <row r="29" customFormat="false" ht="15" hidden="false" customHeight="false" outlineLevel="0" collapsed="false">
      <c r="A29" s="11" t="s">
        <v>51</v>
      </c>
      <c r="B29" s="11" t="s">
        <v>52</v>
      </c>
      <c r="C29" s="11" t="s">
        <v>53</v>
      </c>
    </row>
    <row r="30" customFormat="false" ht="15" hidden="false" customHeight="false" outlineLevel="0" collapsed="false">
      <c r="A30" s="14" t="s">
        <v>54</v>
      </c>
      <c r="B30" s="15" t="n">
        <v>2.1</v>
      </c>
      <c r="C30" s="12" t="n">
        <v>18000</v>
      </c>
    </row>
    <row r="31" customFormat="false" ht="15" hidden="false" customHeight="false" outlineLevel="0" collapsed="false">
      <c r="A31" s="14" t="s">
        <v>55</v>
      </c>
      <c r="B31" s="15" t="n">
        <v>2.1</v>
      </c>
      <c r="C31" s="12" t="n">
        <v>9000</v>
      </c>
    </row>
    <row r="32" customFormat="false" ht="15" hidden="false" customHeight="false" outlineLevel="0" collapsed="false">
      <c r="A32" s="14" t="s">
        <v>56</v>
      </c>
      <c r="B32" s="15" t="n">
        <v>3</v>
      </c>
      <c r="C32" s="12" t="n">
        <v>45000</v>
      </c>
    </row>
    <row r="33" customFormat="false" ht="15" hidden="false" customHeight="false" outlineLevel="0" collapsed="false">
      <c r="A33" s="14" t="s">
        <v>57</v>
      </c>
      <c r="B33" s="15" t="n">
        <v>3</v>
      </c>
      <c r="C33" s="12" t="n">
        <v>35000</v>
      </c>
    </row>
    <row r="34" customFormat="false" ht="15" hidden="false" customHeight="false" outlineLevel="0" collapsed="false">
      <c r="A34" s="14" t="s">
        <v>58</v>
      </c>
      <c r="B34" s="15" t="n">
        <v>2.8</v>
      </c>
      <c r="C34" s="12" t="n">
        <v>0</v>
      </c>
    </row>
    <row r="35" customFormat="false" ht="15" hidden="false" customHeight="false" outlineLevel="0" collapsed="false">
      <c r="A35" s="14" t="s">
        <v>59</v>
      </c>
      <c r="B35" s="15" t="n">
        <v>2.1</v>
      </c>
      <c r="C35" s="12" t="n">
        <v>0</v>
      </c>
    </row>
    <row r="36" customFormat="false" ht="15" hidden="false" customHeight="false" outlineLevel="0" collapsed="false">
      <c r="A36" s="14" t="s">
        <v>60</v>
      </c>
      <c r="B36" s="15" t="n">
        <v>0.8</v>
      </c>
      <c r="C36" s="12" t="n">
        <v>0</v>
      </c>
    </row>
    <row r="37" customFormat="false" ht="15" hidden="false" customHeight="false" outlineLevel="0" collapsed="false">
      <c r="A37" s="13" t="s">
        <v>61</v>
      </c>
    </row>
    <row r="39" customFormat="false" ht="15" hidden="false" customHeight="false" outlineLevel="0" collapsed="false">
      <c r="A39" s="5" t="s">
        <v>62</v>
      </c>
    </row>
    <row r="40" customFormat="false" ht="15" hidden="false" customHeight="false" outlineLevel="0" collapsed="false">
      <c r="A40" s="11" t="s">
        <v>63</v>
      </c>
      <c r="B40" s="11" t="s">
        <v>64</v>
      </c>
      <c r="C40" s="11" t="s">
        <v>47</v>
      </c>
      <c r="D40" s="11" t="s">
        <v>65</v>
      </c>
    </row>
    <row r="41" customFormat="false" ht="15" hidden="false" customHeight="false" outlineLevel="0" collapsed="false">
      <c r="A41" s="16" t="str">
        <f aca="false">Zones!A5</f>
        <v>Z1</v>
      </c>
      <c r="B41" s="17" t="n">
        <f aca="false">Zones!K5</f>
        <v>30</v>
      </c>
      <c r="C41" s="17" t="n">
        <f aca="false">Zones!L5</f>
        <v>60</v>
      </c>
      <c r="D41" s="16" t="str">
        <f aca="false">Zones!I5</f>
        <v>Oui</v>
      </c>
    </row>
    <row r="42" customFormat="false" ht="15" hidden="false" customHeight="false" outlineLevel="0" collapsed="false">
      <c r="A42" s="16" t="str">
        <f aca="false">Zones!A6</f>
        <v>Z2</v>
      </c>
      <c r="B42" s="17" t="n">
        <f aca="false">Zones!K6</f>
        <v>30</v>
      </c>
      <c r="C42" s="17" t="n">
        <f aca="false">Zones!L6</f>
        <v>60</v>
      </c>
      <c r="D42" s="16" t="str">
        <f aca="false">Zones!I6</f>
        <v>Oui</v>
      </c>
    </row>
    <row r="43" customFormat="false" ht="15" hidden="false" customHeight="false" outlineLevel="0" collapsed="false">
      <c r="A43" s="16" t="str">
        <f aca="false">Zones!A7</f>
        <v>Z3</v>
      </c>
      <c r="B43" s="17" t="n">
        <f aca="false">Zones!K7</f>
        <v>35</v>
      </c>
      <c r="C43" s="17" t="n">
        <f aca="false">Zones!L7</f>
        <v>60</v>
      </c>
      <c r="D43" s="16" t="str">
        <f aca="false">Zones!I7</f>
        <v>Oui</v>
      </c>
    </row>
    <row r="44" customFormat="false" ht="15" hidden="false" customHeight="false" outlineLevel="0" collapsed="false">
      <c r="A44" s="16" t="str">
        <f aca="false">Zones!A8</f>
        <v>Z4</v>
      </c>
      <c r="B44" s="17" t="n">
        <f aca="false">Zones!K8</f>
        <v>30</v>
      </c>
      <c r="C44" s="17" t="n">
        <f aca="false">Zones!L8</f>
        <v>60</v>
      </c>
      <c r="D44" s="16" t="str">
        <f aca="false">Zones!I8</f>
        <v>Oui</v>
      </c>
    </row>
    <row r="45" customFormat="false" ht="15" hidden="false" customHeight="false" outlineLevel="0" collapsed="false">
      <c r="A45" s="16" t="str">
        <f aca="false">Zones!A9</f>
        <v>Z5</v>
      </c>
      <c r="B45" s="17" t="n">
        <f aca="false">Zones!K9</f>
        <v>30</v>
      </c>
      <c r="C45" s="17" t="n">
        <f aca="false">Zones!L9</f>
        <v>60</v>
      </c>
      <c r="D45" s="16" t="str">
        <f aca="false">Zones!I9</f>
        <v>Oui</v>
      </c>
    </row>
    <row r="46" customFormat="false" ht="15" hidden="false" customHeight="false" outlineLevel="0" collapsed="false">
      <c r="A46" s="16" t="str">
        <f aca="false">Zones!A10</f>
        <v>Z6</v>
      </c>
      <c r="B46" s="17" t="n">
        <f aca="false">Zones!K10</f>
        <v>30</v>
      </c>
      <c r="C46" s="17" t="n">
        <f aca="false">Zones!L10</f>
        <v>60</v>
      </c>
      <c r="D46" s="16" t="str">
        <f aca="false">Zones!I10</f>
        <v>Oui</v>
      </c>
    </row>
    <row r="47" customFormat="false" ht="15" hidden="false" customHeight="false" outlineLevel="0" collapsed="false">
      <c r="A47" s="16" t="str">
        <f aca="false">Zones!A11</f>
        <v>Z7</v>
      </c>
      <c r="B47" s="17" t="n">
        <f aca="false">Zones!K11</f>
        <v>30</v>
      </c>
      <c r="C47" s="17" t="n">
        <f aca="false">Zones!L11</f>
        <v>60</v>
      </c>
      <c r="D47" s="16" t="str">
        <f aca="false">Zones!I11</f>
        <v>Oui</v>
      </c>
    </row>
    <row r="48" customFormat="false" ht="15" hidden="false" customHeight="false" outlineLevel="0" collapsed="false">
      <c r="A48" s="16" t="str">
        <f aca="false">Zones!A12</f>
        <v>Z8</v>
      </c>
      <c r="B48" s="17" t="n">
        <f aca="false">Zones!K12</f>
        <v>35</v>
      </c>
      <c r="C48" s="17" t="n">
        <f aca="false">Zones!L12</f>
        <v>60</v>
      </c>
      <c r="D48" s="16" t="str">
        <f aca="false">Zones!I12</f>
        <v>Oui</v>
      </c>
    </row>
    <row r="49" customFormat="false" ht="15" hidden="false" customHeight="false" outlineLevel="0" collapsed="false">
      <c r="A49" s="16" t="str">
        <f aca="false">Zones!A13</f>
        <v>Z9</v>
      </c>
      <c r="B49" s="17" t="n">
        <f aca="false">Zones!K13</f>
        <v>10</v>
      </c>
      <c r="C49" s="17" t="n">
        <f aca="false">Zones!L13</f>
        <v>80</v>
      </c>
      <c r="D49" s="16" t="str">
        <f aca="false">Zones!I13</f>
        <v>Oui</v>
      </c>
    </row>
    <row r="50" customFormat="false" ht="15" hidden="false" customHeight="false" outlineLevel="0" collapsed="false">
      <c r="A50" s="16" t="str">
        <f aca="false">Zones!A14</f>
        <v>Z10</v>
      </c>
      <c r="B50" s="17" t="n">
        <f aca="false">Zones!K14</f>
        <v>20</v>
      </c>
      <c r="C50" s="17" t="n">
        <f aca="false">Zones!L14</f>
        <v>60</v>
      </c>
      <c r="D50" s="16" t="str">
        <f aca="false">Zones!I14</f>
        <v>Oui</v>
      </c>
    </row>
    <row r="51" customFormat="false" ht="15" hidden="false" customHeight="false" outlineLevel="0" collapsed="false">
      <c r="A51" s="16" t="str">
        <f aca="false">Zones!A15</f>
        <v>Z11</v>
      </c>
      <c r="B51" s="17" t="n">
        <f aca="false">Zones!K15</f>
        <v>30</v>
      </c>
      <c r="C51" s="17" t="n">
        <f aca="false">Zones!L15</f>
        <v>60</v>
      </c>
      <c r="D51" s="16" t="str">
        <f aca="false">Zones!I15</f>
        <v>Oui</v>
      </c>
    </row>
    <row r="52" customFormat="false" ht="15" hidden="false" customHeight="false" outlineLevel="0" collapsed="false">
      <c r="A52" s="16" t="str">
        <f aca="false">Zones!A16</f>
        <v>Z12</v>
      </c>
      <c r="B52" s="17" t="n">
        <f aca="false">Zones!K16</f>
        <v>5</v>
      </c>
      <c r="C52" s="17" t="n">
        <f aca="false">Zones!L16</f>
        <v>100</v>
      </c>
      <c r="D52" s="16" t="str">
        <f aca="false">Zones!I16</f>
        <v>Oui</v>
      </c>
    </row>
    <row r="53" customFormat="false" ht="15" hidden="false" customHeight="false" outlineLevel="0" collapsed="false">
      <c r="A53" s="16" t="str">
        <f aca="false">Zones!A17</f>
        <v>Z13</v>
      </c>
      <c r="B53" s="17" t="n">
        <f aca="false">Zones!K17</f>
        <v>-20</v>
      </c>
      <c r="C53" s="17" t="n">
        <f aca="false">Zones!L17</f>
        <v>150</v>
      </c>
      <c r="D53" s="16" t="str">
        <f aca="false">Zones!I17</f>
        <v>Oui</v>
      </c>
    </row>
    <row r="54" customFormat="false" ht="15" hidden="false" customHeight="false" outlineLevel="0" collapsed="false">
      <c r="A54" s="16" t="str">
        <f aca="false">Zones!A18</f>
        <v>Z14</v>
      </c>
      <c r="B54" s="17" t="n">
        <f aca="false">Zones!K18</f>
        <v>2</v>
      </c>
      <c r="C54" s="17" t="n">
        <f aca="false">Zones!L18</f>
        <v>100</v>
      </c>
      <c r="D54" s="16" t="str">
        <f aca="false">Zones!I18</f>
        <v>Oui</v>
      </c>
    </row>
    <row r="55" customFormat="false" ht="15" hidden="false" customHeight="false" outlineLevel="0" collapsed="false">
      <c r="A55" s="16" t="str">
        <f aca="false">Zones!A19</f>
        <v>Z15</v>
      </c>
      <c r="B55" s="17" t="n">
        <f aca="false">Zones!K19</f>
        <v>30</v>
      </c>
      <c r="C55" s="17" t="n">
        <f aca="false">Zones!L19</f>
        <v>0</v>
      </c>
      <c r="D55" s="16" t="str">
        <f aca="false">Zones!I19</f>
        <v>Non</v>
      </c>
    </row>
    <row r="56" customFormat="false" ht="15" hidden="false" customHeight="false" outlineLevel="0" collapsed="false">
      <c r="A56" s="14" t="s">
        <v>66</v>
      </c>
      <c r="B56" s="18" t="n">
        <f aca="false">Hypothèses!$B$13</f>
        <v>40</v>
      </c>
      <c r="C56" s="18" t="n">
        <v>0</v>
      </c>
      <c r="D56" s="14" t="s">
        <v>67</v>
      </c>
    </row>
    <row r="57" customFormat="false" ht="15" hidden="false" customHeight="false" outlineLevel="0" collapsed="false">
      <c r="A57" s="14" t="s">
        <v>68</v>
      </c>
      <c r="B57" s="18" t="n">
        <f aca="false">Hypothèses!$B$14</f>
        <v>40</v>
      </c>
      <c r="C57" s="18" t="n">
        <v>0</v>
      </c>
      <c r="D57" s="14" t="s">
        <v>67</v>
      </c>
    </row>
    <row r="58" customFormat="false" ht="15" hidden="false" customHeight="false" outlineLevel="0" collapsed="false">
      <c r="A58" s="14" t="s">
        <v>69</v>
      </c>
      <c r="B58" s="18" t="n">
        <f aca="false">Hypothèses!$B$15</f>
        <v>20</v>
      </c>
      <c r="C58" s="18" t="n">
        <v>0</v>
      </c>
      <c r="D58" s="14" t="s">
        <v>67</v>
      </c>
    </row>
    <row r="59" customFormat="false" ht="15" hidden="false" customHeight="false" outlineLevel="0" collapsed="false">
      <c r="A59" s="14" t="s">
        <v>70</v>
      </c>
      <c r="B59" s="18" t="n">
        <f aca="false">Hypothèses!$B$16</f>
        <v>30</v>
      </c>
      <c r="C59" s="18" t="n">
        <v>0</v>
      </c>
      <c r="D59" s="14" t="s">
        <v>67</v>
      </c>
    </row>
    <row r="60" customFormat="false" ht="15" hidden="false" customHeight="false" outlineLevel="0" collapsed="false">
      <c r="A60" s="14" t="s">
        <v>71</v>
      </c>
      <c r="B60" s="18" t="n">
        <f aca="false">Hypothèses!$B$17</f>
        <v>25</v>
      </c>
      <c r="C60" s="18" t="n">
        <v>0</v>
      </c>
      <c r="D60" s="14" t="s">
        <v>67</v>
      </c>
    </row>
    <row r="61" customFormat="false" ht="15" hidden="false" customHeight="false" outlineLevel="0" collapsed="false">
      <c r="A61" s="14" t="s">
        <v>72</v>
      </c>
      <c r="B61" s="18" t="n">
        <f aca="false">Hypothèses!$B$18</f>
        <v>30</v>
      </c>
      <c r="C61" s="18" t="n">
        <v>0</v>
      </c>
      <c r="D61" s="1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12" min="3" style="0" width="11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4" t="s">
        <v>73</v>
      </c>
    </row>
    <row r="2" customFormat="false" ht="15" hidden="false" customHeight="false" outlineLevel="0" collapsed="false">
      <c r="A2" s="8" t="s">
        <v>74</v>
      </c>
    </row>
    <row r="4" customFormat="false" ht="45" hidden="false" customHeight="true" outlineLevel="0" collapsed="false">
      <c r="A4" s="19" t="s">
        <v>63</v>
      </c>
      <c r="B4" s="19" t="s">
        <v>75</v>
      </c>
      <c r="C4" s="19" t="s">
        <v>76</v>
      </c>
      <c r="D4" s="19" t="s">
        <v>77</v>
      </c>
      <c r="E4" s="19" t="s">
        <v>78</v>
      </c>
      <c r="F4" s="19" t="s">
        <v>79</v>
      </c>
      <c r="G4" s="19" t="s">
        <v>80</v>
      </c>
      <c r="H4" s="19" t="s">
        <v>81</v>
      </c>
      <c r="I4" s="19" t="s">
        <v>82</v>
      </c>
      <c r="J4" s="19" t="s">
        <v>83</v>
      </c>
      <c r="K4" s="19" t="s">
        <v>64</v>
      </c>
      <c r="L4" s="19" t="s">
        <v>84</v>
      </c>
      <c r="M4" s="19" t="s">
        <v>85</v>
      </c>
      <c r="N4" s="19" t="s">
        <v>86</v>
      </c>
      <c r="O4" s="19" t="s">
        <v>87</v>
      </c>
    </row>
    <row r="5" customFormat="false" ht="15" hidden="false" customHeight="false" outlineLevel="0" collapsed="false">
      <c r="A5" s="20" t="s">
        <v>88</v>
      </c>
      <c r="B5" s="14" t="s">
        <v>89</v>
      </c>
      <c r="C5" s="21" t="n">
        <v>11.83</v>
      </c>
      <c r="D5" s="21" t="n">
        <v>24.44</v>
      </c>
      <c r="E5" s="22" t="n">
        <f aca="false">C5*D5</f>
        <v>289.1252</v>
      </c>
      <c r="F5" s="23" t="n">
        <f aca="false">2*(C5+D5)</f>
        <v>72.54</v>
      </c>
      <c r="G5" s="15" t="n">
        <v>6</v>
      </c>
      <c r="H5" s="24" t="n">
        <f aca="false">E5*G5</f>
        <v>1734.7512</v>
      </c>
      <c r="I5" s="25" t="s">
        <v>90</v>
      </c>
      <c r="J5" s="25" t="s">
        <v>67</v>
      </c>
      <c r="K5" s="10" t="n">
        <v>30</v>
      </c>
      <c r="L5" s="18" t="n">
        <f aca="false">IF(I5="Oui",INDEX(Hypothèses!$B$22:$B$25,MATCH(TRUE(),INDEX(Hypothèses!$A$22:$A$25&gt;=K5,0),0)),0)</f>
        <v>60</v>
      </c>
      <c r="M5" s="22" t="n">
        <f aca="false">SUMIF(Parois!$B$5:$B$53,A5,Parois!$J$5:$J$53)+SUMIF(Parois!$C$5:$C$53,A5,Parois!$J$5:$J$53)-SUMIFS(Parois!$J$5:$J$53,Parois!$B$5:$B$53,A5,Parois!$C$5:$C$53,A5)</f>
        <v>428.55</v>
      </c>
      <c r="N5" s="22" t="n">
        <f aca="false">IF(I5="Oui",E5,0)</f>
        <v>289.1252</v>
      </c>
      <c r="O5" s="26" t="s">
        <v>91</v>
      </c>
    </row>
    <row r="6" customFormat="false" ht="26.85" hidden="false" customHeight="false" outlineLevel="0" collapsed="false">
      <c r="A6" s="20" t="s">
        <v>92</v>
      </c>
      <c r="B6" s="14" t="s">
        <v>93</v>
      </c>
      <c r="C6" s="21" t="n">
        <v>8.4</v>
      </c>
      <c r="D6" s="21" t="n">
        <v>20.34</v>
      </c>
      <c r="E6" s="22" t="n">
        <f aca="false">C6*D6</f>
        <v>170.856</v>
      </c>
      <c r="F6" s="23" t="n">
        <f aca="false">2*(C6+D6)</f>
        <v>57.48</v>
      </c>
      <c r="G6" s="15" t="n">
        <v>6</v>
      </c>
      <c r="H6" s="24" t="n">
        <f aca="false">E6*G6</f>
        <v>1025.136</v>
      </c>
      <c r="I6" s="25" t="s">
        <v>90</v>
      </c>
      <c r="J6" s="25" t="s">
        <v>67</v>
      </c>
      <c r="K6" s="10" t="n">
        <v>30</v>
      </c>
      <c r="L6" s="18" t="n">
        <f aca="false">IF(I6="Oui",INDEX(Hypothèses!$B$22:$B$25,MATCH(TRUE(),INDEX(Hypothèses!$A$22:$A$25&gt;=K6,0),0)),0)</f>
        <v>60</v>
      </c>
      <c r="M6" s="22" t="n">
        <f aca="false">SUMIF(Parois!$B$5:$B$53,A6,Parois!$J$5:$J$53)+SUMIF(Parois!$C$5:$C$53,A6,Parois!$J$5:$J$53)-SUMIFS(Parois!$J$5:$J$53,Parois!$B$5:$B$53,A6,Parois!$C$5:$C$53,A6)</f>
        <v>317.286</v>
      </c>
      <c r="N6" s="22" t="n">
        <f aca="false">IF(I6="Oui",E6,0)</f>
        <v>170.856</v>
      </c>
      <c r="O6" s="26" t="s">
        <v>94</v>
      </c>
    </row>
    <row r="7" customFormat="false" ht="39.55" hidden="false" customHeight="false" outlineLevel="0" collapsed="false">
      <c r="A7" s="20" t="s">
        <v>95</v>
      </c>
      <c r="B7" s="14" t="s">
        <v>96</v>
      </c>
      <c r="C7" s="21" t="n">
        <v>7.3</v>
      </c>
      <c r="D7" s="21" t="n">
        <v>20.34</v>
      </c>
      <c r="E7" s="22" t="n">
        <f aca="false">C7*D7</f>
        <v>148.482</v>
      </c>
      <c r="F7" s="23" t="n">
        <f aca="false">2*(C7+D7)</f>
        <v>55.28</v>
      </c>
      <c r="G7" s="15" t="n">
        <v>6</v>
      </c>
      <c r="H7" s="24" t="n">
        <f aca="false">E7*G7</f>
        <v>890.892</v>
      </c>
      <c r="I7" s="25" t="s">
        <v>90</v>
      </c>
      <c r="J7" s="25" t="s">
        <v>67</v>
      </c>
      <c r="K7" s="10" t="n">
        <v>35</v>
      </c>
      <c r="L7" s="18" t="n">
        <f aca="false">IF(I7="Oui",INDEX(Hypothèses!$B$22:$B$25,MATCH(TRUE(),INDEX(Hypothèses!$A$22:$A$25&gt;=K7,0),0)),0)</f>
        <v>60</v>
      </c>
      <c r="M7" s="22" t="n">
        <f aca="false">SUMIF(Parois!$B$5:$B$53,A7,Parois!$J$5:$J$53)+SUMIF(Parois!$C$5:$C$53,A7,Parois!$J$5:$J$53)-SUMIFS(Parois!$J$5:$J$53,Parois!$B$5:$B$53,A7,Parois!$C$5:$C$53,A7)</f>
        <v>286.152</v>
      </c>
      <c r="N7" s="22" t="n">
        <f aca="false">IF(I7="Oui",E7,0)</f>
        <v>148.482</v>
      </c>
      <c r="O7" s="26" t="s">
        <v>97</v>
      </c>
    </row>
    <row r="8" customFormat="false" ht="26.85" hidden="false" customHeight="false" outlineLevel="0" collapsed="false">
      <c r="A8" s="20" t="s">
        <v>98</v>
      </c>
      <c r="B8" s="14" t="s">
        <v>99</v>
      </c>
      <c r="C8" s="21" t="n">
        <v>5.5</v>
      </c>
      <c r="D8" s="21" t="n">
        <v>20.34</v>
      </c>
      <c r="E8" s="22" t="n">
        <f aca="false">C8*D8</f>
        <v>111.87</v>
      </c>
      <c r="F8" s="23" t="n">
        <f aca="false">2*(C8+D8)</f>
        <v>51.68</v>
      </c>
      <c r="G8" s="15" t="n">
        <v>6</v>
      </c>
      <c r="H8" s="24" t="n">
        <f aca="false">E8*G8</f>
        <v>671.22</v>
      </c>
      <c r="I8" s="25" t="s">
        <v>90</v>
      </c>
      <c r="J8" s="25" t="s">
        <v>67</v>
      </c>
      <c r="K8" s="10" t="n">
        <v>30</v>
      </c>
      <c r="L8" s="18" t="n">
        <f aca="false">IF(I8="Oui",INDEX(Hypothèses!$B$22:$B$25,MATCH(TRUE(),INDEX(Hypothèses!$A$22:$A$25&gt;=K8,0),0)),0)</f>
        <v>60</v>
      </c>
      <c r="M8" s="22" t="n">
        <f aca="false">SUMIF(Parois!$B$5:$B$53,A8,Parois!$J$5:$J$53)+SUMIF(Parois!$C$5:$C$53,A8,Parois!$J$5:$J$53)-SUMIFS(Parois!$J$5:$J$53,Parois!$B$5:$B$53,A8,Parois!$C$5:$C$53,A8)</f>
        <v>208.566</v>
      </c>
      <c r="N8" s="22" t="n">
        <f aca="false">IF(I8="Oui",E8,0)</f>
        <v>111.87</v>
      </c>
      <c r="O8" s="26" t="s">
        <v>100</v>
      </c>
    </row>
    <row r="9" customFormat="false" ht="26.85" hidden="false" customHeight="false" outlineLevel="0" collapsed="false">
      <c r="A9" s="20" t="s">
        <v>101</v>
      </c>
      <c r="B9" s="14" t="s">
        <v>102</v>
      </c>
      <c r="C9" s="14" t="s">
        <v>103</v>
      </c>
      <c r="D9" s="14" t="s">
        <v>103</v>
      </c>
      <c r="E9" s="27" t="n">
        <v>192.45</v>
      </c>
      <c r="F9" s="21" t="n">
        <v>66</v>
      </c>
      <c r="G9" s="15" t="n">
        <v>6</v>
      </c>
      <c r="H9" s="24" t="n">
        <f aca="false">E9*G9</f>
        <v>1154.7</v>
      </c>
      <c r="I9" s="25" t="s">
        <v>90</v>
      </c>
      <c r="J9" s="25" t="s">
        <v>67</v>
      </c>
      <c r="K9" s="10" t="n">
        <v>30</v>
      </c>
      <c r="L9" s="18" t="n">
        <f aca="false">IF(I9="Oui",INDEX(Hypothèses!$B$22:$B$25,MATCH(TRUE(),INDEX(Hypothèses!$A$22:$A$25&gt;=K9,0),0)),0)</f>
        <v>60</v>
      </c>
      <c r="M9" s="22" t="n">
        <f aca="false">SUMIF(Parois!$B$5:$B$53,A9,Parois!$J$5:$J$53)+SUMIF(Parois!$C$5:$C$53,A9,Parois!$J$5:$J$53)-SUMIFS(Parois!$J$5:$J$53,Parois!$B$5:$B$53,A9,Parois!$C$5:$C$53,A9)</f>
        <v>305.03</v>
      </c>
      <c r="N9" s="22" t="n">
        <f aca="false">IF(I9="Oui",E9,0)</f>
        <v>192.45</v>
      </c>
      <c r="O9" s="26" t="s">
        <v>104</v>
      </c>
    </row>
    <row r="10" customFormat="false" ht="15" hidden="false" customHeight="false" outlineLevel="0" collapsed="false">
      <c r="A10" s="20" t="s">
        <v>105</v>
      </c>
      <c r="B10" s="14" t="s">
        <v>106</v>
      </c>
      <c r="C10" s="21" t="n">
        <v>8.5</v>
      </c>
      <c r="D10" s="21" t="n">
        <v>3</v>
      </c>
      <c r="E10" s="22" t="n">
        <f aca="false">C10*D10</f>
        <v>25.5</v>
      </c>
      <c r="F10" s="23" t="n">
        <f aca="false">2*(C10+D10)</f>
        <v>23</v>
      </c>
      <c r="G10" s="15" t="n">
        <v>6</v>
      </c>
      <c r="H10" s="24" t="n">
        <f aca="false">E10*G10</f>
        <v>153</v>
      </c>
      <c r="I10" s="25" t="s">
        <v>90</v>
      </c>
      <c r="J10" s="25" t="s">
        <v>67</v>
      </c>
      <c r="K10" s="10" t="n">
        <v>30</v>
      </c>
      <c r="L10" s="18" t="n">
        <f aca="false">IF(I10="Oui",INDEX(Hypothèses!$B$22:$B$25,MATCH(TRUE(),INDEX(Hypothèses!$A$22:$A$25&gt;=K10,0),0)),0)</f>
        <v>60</v>
      </c>
      <c r="M10" s="22" t="n">
        <f aca="false">SUMIF(Parois!$B$5:$B$53,A10,Parois!$J$5:$J$53)+SUMIF(Parois!$C$5:$C$53,A10,Parois!$J$5:$J$53)-SUMIFS(Parois!$J$5:$J$53,Parois!$B$5:$B$53,A10,Parois!$C$5:$C$53,A10)</f>
        <v>130.66</v>
      </c>
      <c r="N10" s="22" t="n">
        <f aca="false">IF(I10="Oui",E10,0)</f>
        <v>25.5</v>
      </c>
      <c r="O10" s="26" t="s">
        <v>107</v>
      </c>
    </row>
    <row r="11" customFormat="false" ht="15" hidden="false" customHeight="false" outlineLevel="0" collapsed="false">
      <c r="A11" s="20" t="s">
        <v>108</v>
      </c>
      <c r="B11" s="14" t="s">
        <v>109</v>
      </c>
      <c r="C11" s="21" t="n">
        <v>3.5</v>
      </c>
      <c r="D11" s="21" t="n">
        <v>2.4</v>
      </c>
      <c r="E11" s="22" t="n">
        <f aca="false">C11*D11</f>
        <v>8.4</v>
      </c>
      <c r="F11" s="23" t="n">
        <f aca="false">2*(C11+D11)</f>
        <v>11.8</v>
      </c>
      <c r="G11" s="15" t="n">
        <v>6</v>
      </c>
      <c r="H11" s="24" t="n">
        <f aca="false">E11*G11</f>
        <v>50.4</v>
      </c>
      <c r="I11" s="25" t="s">
        <v>90</v>
      </c>
      <c r="J11" s="25" t="s">
        <v>67</v>
      </c>
      <c r="K11" s="10" t="n">
        <v>30</v>
      </c>
      <c r="L11" s="18" t="n">
        <f aca="false">IF(I11="Oui",INDEX(Hypothèses!$B$22:$B$25,MATCH(TRUE(),INDEX(Hypothèses!$A$22:$A$25&gt;=K11,0),0)),0)</f>
        <v>60</v>
      </c>
      <c r="M11" s="22" t="n">
        <f aca="false">SUMIF(Parois!$B$5:$B$53,A11,Parois!$J$5:$J$53)+SUMIF(Parois!$C$5:$C$53,A11,Parois!$J$5:$J$53)-SUMIFS(Parois!$J$5:$J$53,Parois!$B$5:$B$53,A11,Parois!$C$5:$C$53,A11)</f>
        <v>67.62</v>
      </c>
      <c r="N11" s="22" t="n">
        <f aca="false">IF(I11="Oui",E11,0)</f>
        <v>8.4</v>
      </c>
      <c r="O11" s="26" t="s">
        <v>110</v>
      </c>
    </row>
    <row r="12" customFormat="false" ht="26.85" hidden="false" customHeight="false" outlineLevel="0" collapsed="false">
      <c r="A12" s="20" t="s">
        <v>111</v>
      </c>
      <c r="B12" s="14" t="s">
        <v>112</v>
      </c>
      <c r="C12" s="21" t="n">
        <v>17.3</v>
      </c>
      <c r="D12" s="21" t="n">
        <v>7.04</v>
      </c>
      <c r="E12" s="22" t="n">
        <f aca="false">C12*D12</f>
        <v>121.792</v>
      </c>
      <c r="F12" s="23" t="n">
        <f aca="false">2*(C12+D12)</f>
        <v>48.68</v>
      </c>
      <c r="G12" s="15" t="n">
        <v>6</v>
      </c>
      <c r="H12" s="24" t="n">
        <f aca="false">E12*G12</f>
        <v>730.752</v>
      </c>
      <c r="I12" s="25" t="s">
        <v>90</v>
      </c>
      <c r="J12" s="25" t="s">
        <v>67</v>
      </c>
      <c r="K12" s="10" t="n">
        <v>35</v>
      </c>
      <c r="L12" s="18" t="n">
        <f aca="false">IF(I12="Oui",INDEX(Hypothèses!$B$22:$B$25,MATCH(TRUE(),INDEX(Hypothèses!$A$22:$A$25&gt;=K12,0),0)),0)</f>
        <v>60</v>
      </c>
      <c r="M12" s="22" t="n">
        <f aca="false">SUMIF(Parois!$B$5:$B$53,A12,Parois!$J$5:$J$53)+SUMIF(Parois!$C$5:$C$53,A12,Parois!$J$5:$J$53)-SUMIFS(Parois!$J$5:$J$53,Parois!$B$5:$B$53,A12,Parois!$C$5:$C$53,A12)</f>
        <v>283.86</v>
      </c>
      <c r="N12" s="22" t="n">
        <f aca="false">IF(I12="Oui",E12,0)</f>
        <v>121.792</v>
      </c>
      <c r="O12" s="26" t="s">
        <v>113</v>
      </c>
    </row>
    <row r="13" customFormat="false" ht="26.85" hidden="false" customHeight="false" outlineLevel="0" collapsed="false">
      <c r="A13" s="20" t="s">
        <v>114</v>
      </c>
      <c r="B13" s="14" t="s">
        <v>115</v>
      </c>
      <c r="C13" s="14" t="s">
        <v>103</v>
      </c>
      <c r="D13" s="14" t="s">
        <v>103</v>
      </c>
      <c r="E13" s="27" t="n">
        <v>183.57</v>
      </c>
      <c r="F13" s="21" t="n">
        <v>61.88</v>
      </c>
      <c r="G13" s="15" t="n">
        <v>6</v>
      </c>
      <c r="H13" s="24" t="n">
        <f aca="false">E13*G13</f>
        <v>1101.42</v>
      </c>
      <c r="I13" s="25" t="s">
        <v>90</v>
      </c>
      <c r="J13" s="25" t="s">
        <v>90</v>
      </c>
      <c r="K13" s="10" t="n">
        <v>10</v>
      </c>
      <c r="L13" s="18" t="n">
        <f aca="false">IF(I13="Oui",INDEX(Hypothèses!$B$22:$B$25,MATCH(TRUE(),INDEX(Hypothèses!$A$22:$A$25&gt;=K13,0),0)),0)</f>
        <v>80</v>
      </c>
      <c r="M13" s="22" t="n">
        <f aca="false">SUMIF(Parois!$B$5:$B$53,A13,Parois!$J$5:$J$53)+SUMIF(Parois!$C$5:$C$53,A13,Parois!$J$5:$J$53)-SUMIFS(Parois!$J$5:$J$53,Parois!$B$5:$B$53,A13,Parois!$C$5:$C$53,A13)</f>
        <v>374</v>
      </c>
      <c r="N13" s="22" t="n">
        <f aca="false">IF(I13="Oui",E13,0)</f>
        <v>183.57</v>
      </c>
      <c r="O13" s="26" t="s">
        <v>116</v>
      </c>
    </row>
    <row r="14" customFormat="false" ht="15" hidden="false" customHeight="false" outlineLevel="0" collapsed="false">
      <c r="A14" s="20" t="s">
        <v>117</v>
      </c>
      <c r="B14" s="14" t="s">
        <v>118</v>
      </c>
      <c r="C14" s="21" t="n">
        <v>3.6</v>
      </c>
      <c r="D14" s="21" t="n">
        <v>2.4</v>
      </c>
      <c r="E14" s="22" t="n">
        <f aca="false">C14*D14</f>
        <v>8.64</v>
      </c>
      <c r="F14" s="23" t="n">
        <f aca="false">2*(C14+D14)</f>
        <v>12</v>
      </c>
      <c r="G14" s="15" t="n">
        <v>6</v>
      </c>
      <c r="H14" s="24" t="n">
        <f aca="false">E14*G14</f>
        <v>51.84</v>
      </c>
      <c r="I14" s="25" t="s">
        <v>90</v>
      </c>
      <c r="J14" s="25" t="s">
        <v>67</v>
      </c>
      <c r="K14" s="10" t="n">
        <v>20</v>
      </c>
      <c r="L14" s="18" t="n">
        <f aca="false">IF(I14="Oui",INDEX(Hypothèses!$B$22:$B$25,MATCH(TRUE(),INDEX(Hypothèses!$A$22:$A$25&gt;=K14,0),0)),0)</f>
        <v>60</v>
      </c>
      <c r="M14" s="22" t="n">
        <f aca="false">SUMIF(Parois!$B$5:$B$53,A14,Parois!$J$5:$J$53)+SUMIF(Parois!$C$5:$C$53,A14,Parois!$J$5:$J$53)-SUMIFS(Parois!$J$5:$J$53,Parois!$B$5:$B$53,A14,Parois!$C$5:$C$53,A14)</f>
        <v>53.82</v>
      </c>
      <c r="N14" s="22" t="n">
        <f aca="false">IF(I14="Oui",E14,0)</f>
        <v>8.64</v>
      </c>
      <c r="O14" s="26" t="s">
        <v>119</v>
      </c>
    </row>
    <row r="15" customFormat="false" ht="15" hidden="false" customHeight="false" outlineLevel="0" collapsed="false">
      <c r="A15" s="20" t="s">
        <v>120</v>
      </c>
      <c r="B15" s="14" t="s">
        <v>121</v>
      </c>
      <c r="C15" s="21" t="n">
        <v>2.8</v>
      </c>
      <c r="D15" s="21" t="n">
        <v>24.44</v>
      </c>
      <c r="E15" s="22" t="n">
        <f aca="false">C15*D15</f>
        <v>68.432</v>
      </c>
      <c r="F15" s="23" t="n">
        <f aca="false">2*(C15+D15)</f>
        <v>54.48</v>
      </c>
      <c r="G15" s="15" t="n">
        <v>6</v>
      </c>
      <c r="H15" s="24" t="n">
        <f aca="false">E15*G15</f>
        <v>410.592</v>
      </c>
      <c r="I15" s="25" t="s">
        <v>90</v>
      </c>
      <c r="J15" s="25" t="s">
        <v>67</v>
      </c>
      <c r="K15" s="10" t="n">
        <v>30</v>
      </c>
      <c r="L15" s="18" t="n">
        <f aca="false">IF(I15="Oui",INDEX(Hypothèses!$B$22:$B$25,MATCH(TRUE(),INDEX(Hypothèses!$A$22:$A$25&gt;=K15,0),0)),0)</f>
        <v>60</v>
      </c>
      <c r="M15" s="22" t="n">
        <f aca="false">SUMIF(Parois!$B$5:$B$53,A15,Parois!$J$5:$J$53)+SUMIF(Parois!$C$5:$C$53,A15,Parois!$J$5:$J$53)-SUMIFS(Parois!$J$5:$J$53,Parois!$B$5:$B$53,A15,Parois!$C$5:$C$53,A15)</f>
        <v>327.21</v>
      </c>
      <c r="N15" s="22" t="n">
        <f aca="false">IF(I15="Oui",E15,0)</f>
        <v>68.432</v>
      </c>
      <c r="O15" s="26" t="s">
        <v>122</v>
      </c>
    </row>
    <row r="16" customFormat="false" ht="26.85" hidden="false" customHeight="false" outlineLevel="0" collapsed="false">
      <c r="A16" s="20" t="s">
        <v>123</v>
      </c>
      <c r="B16" s="14" t="s">
        <v>124</v>
      </c>
      <c r="C16" s="21" t="n">
        <v>11.015</v>
      </c>
      <c r="D16" s="21" t="n">
        <v>4</v>
      </c>
      <c r="E16" s="22" t="n">
        <f aca="false">C16*D16</f>
        <v>44.06</v>
      </c>
      <c r="F16" s="23" t="n">
        <f aca="false">2*(C16+D16)</f>
        <v>30.03</v>
      </c>
      <c r="G16" s="15" t="n">
        <v>6</v>
      </c>
      <c r="H16" s="24" t="n">
        <f aca="false">E16*G16</f>
        <v>264.36</v>
      </c>
      <c r="I16" s="25" t="s">
        <v>90</v>
      </c>
      <c r="J16" s="25" t="s">
        <v>90</v>
      </c>
      <c r="K16" s="10" t="n">
        <v>5</v>
      </c>
      <c r="L16" s="18" t="n">
        <f aca="false">IF(I16="Oui",INDEX(Hypothèses!$B$22:$B$25,MATCH(TRUE(),INDEX(Hypothèses!$A$22:$A$25&gt;=K16,0),0)),0)</f>
        <v>100</v>
      </c>
      <c r="M16" s="22" t="n">
        <f aca="false">SUMIF(Parois!$B$5:$B$53,A16,Parois!$J$5:$J$53)+SUMIF(Parois!$C$5:$C$53,A16,Parois!$J$5:$J$53)-SUMIFS(Parois!$J$5:$J$53,Parois!$B$5:$B$53,A16,Parois!$C$5:$C$53,A16)</f>
        <v>162.87</v>
      </c>
      <c r="N16" s="22" t="n">
        <f aca="false">IF(I16="Oui",E16,0)</f>
        <v>44.06</v>
      </c>
      <c r="O16" s="26" t="s">
        <v>125</v>
      </c>
    </row>
    <row r="17" customFormat="false" ht="15" hidden="false" customHeight="false" outlineLevel="0" collapsed="false">
      <c r="A17" s="20" t="s">
        <v>126</v>
      </c>
      <c r="B17" s="14" t="s">
        <v>127</v>
      </c>
      <c r="C17" s="14" t="s">
        <v>103</v>
      </c>
      <c r="D17" s="14" t="s">
        <v>103</v>
      </c>
      <c r="E17" s="27" t="n">
        <v>244.72</v>
      </c>
      <c r="F17" s="21" t="n">
        <v>68.7</v>
      </c>
      <c r="G17" s="15" t="n">
        <v>6</v>
      </c>
      <c r="H17" s="24" t="n">
        <f aca="false">E17*G17</f>
        <v>1468.32</v>
      </c>
      <c r="I17" s="25" t="s">
        <v>90</v>
      </c>
      <c r="J17" s="25" t="s">
        <v>90</v>
      </c>
      <c r="K17" s="10" t="n">
        <v>-20</v>
      </c>
      <c r="L17" s="18" t="n">
        <f aca="false">IF(I17="Oui",INDEX(Hypothèses!$B$22:$B$25,MATCH(TRUE(),INDEX(Hypothèses!$A$22:$A$25&gt;=K17,0),0)),0)</f>
        <v>150</v>
      </c>
      <c r="M17" s="22" t="n">
        <f aca="false">SUMIF(Parois!$B$5:$B$53,A17,Parois!$J$5:$J$53)+SUMIF(Parois!$C$5:$C$53,A17,Parois!$J$5:$J$53)-SUMIFS(Parois!$J$5:$J$53,Parois!$B$5:$B$53,A17,Parois!$C$5:$C$53,A17)</f>
        <v>402.09</v>
      </c>
      <c r="N17" s="22" t="n">
        <f aca="false">IF(I17="Oui",E17,0)</f>
        <v>244.72</v>
      </c>
      <c r="O17" s="26" t="s">
        <v>128</v>
      </c>
    </row>
    <row r="18" customFormat="false" ht="15" hidden="false" customHeight="false" outlineLevel="0" collapsed="false">
      <c r="A18" s="20" t="s">
        <v>129</v>
      </c>
      <c r="B18" s="14" t="s">
        <v>130</v>
      </c>
      <c r="C18" s="21" t="n">
        <v>15.01</v>
      </c>
      <c r="D18" s="21" t="n">
        <v>5</v>
      </c>
      <c r="E18" s="22" t="n">
        <f aca="false">C18*D18</f>
        <v>75.05</v>
      </c>
      <c r="F18" s="23" t="n">
        <f aca="false">2*(C18+D18)</f>
        <v>40.02</v>
      </c>
      <c r="G18" s="15" t="n">
        <v>6</v>
      </c>
      <c r="H18" s="24" t="n">
        <f aca="false">E18*G18</f>
        <v>450.3</v>
      </c>
      <c r="I18" s="25" t="s">
        <v>90</v>
      </c>
      <c r="J18" s="25" t="s">
        <v>90</v>
      </c>
      <c r="K18" s="10" t="n">
        <v>2</v>
      </c>
      <c r="L18" s="18" t="n">
        <f aca="false">IF(I18="Oui",INDEX(Hypothèses!$B$22:$B$25,MATCH(TRUE(),INDEX(Hypothèses!$A$22:$A$25&gt;=K18,0),0)),0)</f>
        <v>100</v>
      </c>
      <c r="M18" s="22" t="n">
        <f aca="false">SUMIF(Parois!$B$5:$B$53,A18,Parois!$J$5:$J$53)+SUMIF(Parois!$C$5:$C$53,A18,Parois!$J$5:$J$53)-SUMIFS(Parois!$J$5:$J$53,Parois!$B$5:$B$53,A18,Parois!$C$5:$C$53,A18)</f>
        <v>237.18</v>
      </c>
      <c r="N18" s="22" t="n">
        <f aca="false">IF(I18="Oui",E18,0)</f>
        <v>75.05</v>
      </c>
      <c r="O18" s="26"/>
    </row>
    <row r="19" customFormat="false" ht="26.85" hidden="false" customHeight="false" outlineLevel="0" collapsed="false">
      <c r="A19" s="20" t="s">
        <v>131</v>
      </c>
      <c r="B19" s="14" t="s">
        <v>132</v>
      </c>
      <c r="C19" s="14" t="s">
        <v>103</v>
      </c>
      <c r="D19" s="14" t="s">
        <v>103</v>
      </c>
      <c r="E19" s="27" t="n">
        <v>192.8</v>
      </c>
      <c r="F19" s="21" t="n">
        <v>119.85</v>
      </c>
      <c r="G19" s="15" t="n">
        <v>6</v>
      </c>
      <c r="H19" s="24" t="n">
        <f aca="false">E19*G19</f>
        <v>1156.8</v>
      </c>
      <c r="I19" s="25" t="s">
        <v>67</v>
      </c>
      <c r="J19" s="25" t="s">
        <v>67</v>
      </c>
      <c r="K19" s="10" t="n">
        <v>30</v>
      </c>
      <c r="L19" s="18" t="n">
        <f aca="false">IF(I19="Oui",INDEX(Hypothèses!$B$22:$B$25,MATCH(TRUE(),INDEX(Hypothèses!$A$22:$A$25&gt;=K19,0),0)),0)</f>
        <v>0</v>
      </c>
      <c r="M19" s="22" t="n">
        <f aca="false">SUMIF(Parois!$B$5:$B$53,A19,Parois!$J$5:$J$53)+SUMIF(Parois!$C$5:$C$53,A19,Parois!$J$5:$J$53)-SUMIFS(Parois!$J$5:$J$53,Parois!$B$5:$B$53,A19,Parois!$C$5:$C$53,A19)</f>
        <v>781.38</v>
      </c>
      <c r="N19" s="22" t="n">
        <f aca="false">IF(I19="Oui",E19,0)</f>
        <v>0</v>
      </c>
      <c r="O19" s="26" t="s">
        <v>133</v>
      </c>
    </row>
    <row r="20" customFormat="false" ht="15" hidden="false" customHeight="false" outlineLevel="0" collapsed="false">
      <c r="B20" s="28" t="s">
        <v>134</v>
      </c>
      <c r="E20" s="29" t="n">
        <f aca="false">SUM(E5:E19)</f>
        <v>1885.7472</v>
      </c>
      <c r="H20" s="30" t="n">
        <f aca="false">SUM(H5:H19)</f>
        <v>11314.4832</v>
      </c>
      <c r="M20" s="29" t="n">
        <f aca="false">SUM(M5:M19)</f>
        <v>4366.274</v>
      </c>
      <c r="N20" s="29" t="n">
        <f aca="false">SUM(N5:N19)</f>
        <v>1692.9472</v>
      </c>
    </row>
  </sheetData>
  <dataValidations count="1">
    <dataValidation allowBlank="false" errorStyle="stop" operator="between" showDropDown="false" showErrorMessage="false" showInputMessage="false" sqref="I5:J1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8"/>
    <col collapsed="false" customWidth="true" hidden="false" outlineLevel="0" max="5" min="5" style="0" width="26"/>
    <col collapsed="false" customWidth="true" hidden="false" outlineLevel="0" max="8" min="6" style="0" width="11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4" t="s">
        <v>135</v>
      </c>
    </row>
    <row r="2" customFormat="false" ht="15" hidden="false" customHeight="false" outlineLevel="0" collapsed="false">
      <c r="A2" s="8" t="s">
        <v>136</v>
      </c>
    </row>
    <row r="4" customFormat="false" ht="45" hidden="false" customHeight="true" outlineLevel="0" collapsed="false">
      <c r="A4" s="19" t="s">
        <v>137</v>
      </c>
      <c r="B4" s="19" t="s">
        <v>138</v>
      </c>
      <c r="C4" s="19" t="s">
        <v>139</v>
      </c>
      <c r="D4" s="19" t="s">
        <v>140</v>
      </c>
      <c r="E4" s="19" t="s">
        <v>51</v>
      </c>
      <c r="F4" s="19" t="s">
        <v>141</v>
      </c>
      <c r="G4" s="19" t="s">
        <v>52</v>
      </c>
      <c r="H4" s="19" t="s">
        <v>78</v>
      </c>
      <c r="I4" s="19" t="s">
        <v>87</v>
      </c>
    </row>
    <row r="5" customFormat="false" ht="15" hidden="false" customHeight="false" outlineLevel="0" collapsed="false">
      <c r="A5" s="20" t="s">
        <v>142</v>
      </c>
      <c r="B5" s="14" t="s">
        <v>88</v>
      </c>
      <c r="C5" s="14" t="s">
        <v>70</v>
      </c>
      <c r="D5" s="14" t="s">
        <v>143</v>
      </c>
      <c r="E5" s="14" t="s">
        <v>55</v>
      </c>
      <c r="F5" s="21" t="n">
        <v>1.5</v>
      </c>
      <c r="G5" s="31" t="n">
        <f aca="false">INDEX(Hypothèses!$B$30:$B$36,MATCH(E5,Hypothèses!$A$30:$A$36,0))</f>
        <v>2.1</v>
      </c>
      <c r="H5" s="22" t="n">
        <f aca="false">F5*G5</f>
        <v>3.15</v>
      </c>
      <c r="I5" s="26" t="s">
        <v>144</v>
      </c>
    </row>
    <row r="6" customFormat="false" ht="15" hidden="false" customHeight="false" outlineLevel="0" collapsed="false">
      <c r="A6" s="20" t="s">
        <v>145</v>
      </c>
      <c r="B6" s="14" t="s">
        <v>88</v>
      </c>
      <c r="C6" s="14" t="s">
        <v>92</v>
      </c>
      <c r="D6" s="14" t="s">
        <v>146</v>
      </c>
      <c r="E6" s="14" t="s">
        <v>54</v>
      </c>
      <c r="F6" s="21" t="n">
        <v>1.4</v>
      </c>
      <c r="G6" s="31" t="n">
        <f aca="false">INDEX(Hypothèses!$B$30:$B$36,MATCH(E6,Hypothèses!$A$30:$A$36,0))</f>
        <v>2.1</v>
      </c>
      <c r="H6" s="22" t="n">
        <f aca="false">F6*G6</f>
        <v>2.94</v>
      </c>
      <c r="I6" s="26" t="s">
        <v>147</v>
      </c>
    </row>
    <row r="7" customFormat="false" ht="15" hidden="false" customHeight="false" outlineLevel="0" collapsed="false">
      <c r="A7" s="20" t="s">
        <v>148</v>
      </c>
      <c r="B7" s="14" t="s">
        <v>92</v>
      </c>
      <c r="C7" s="14" t="s">
        <v>95</v>
      </c>
      <c r="D7" s="14" t="s">
        <v>149</v>
      </c>
      <c r="E7" s="14" t="s">
        <v>59</v>
      </c>
      <c r="F7" s="21" t="n">
        <v>8.94</v>
      </c>
      <c r="G7" s="31" t="n">
        <f aca="false">INDEX(Hypothèses!$B$30:$B$36,MATCH(E7,Hypothèses!$A$30:$A$36,0))</f>
        <v>2.1</v>
      </c>
      <c r="H7" s="22" t="n">
        <f aca="false">F7*G7</f>
        <v>18.774</v>
      </c>
      <c r="I7" s="26" t="s">
        <v>150</v>
      </c>
    </row>
    <row r="8" customFormat="false" ht="15" hidden="false" customHeight="false" outlineLevel="0" collapsed="false">
      <c r="A8" s="20" t="s">
        <v>151</v>
      </c>
      <c r="B8" s="14" t="s">
        <v>95</v>
      </c>
      <c r="C8" s="14" t="s">
        <v>98</v>
      </c>
      <c r="D8" s="14" t="s">
        <v>152</v>
      </c>
      <c r="E8" s="14" t="s">
        <v>59</v>
      </c>
      <c r="F8" s="21" t="n">
        <v>8.94</v>
      </c>
      <c r="G8" s="31" t="n">
        <f aca="false">INDEX(Hypothèses!$B$30:$B$36,MATCH(E8,Hypothèses!$A$30:$A$36,0))</f>
        <v>2.1</v>
      </c>
      <c r="H8" s="22" t="n">
        <f aca="false">F8*G8</f>
        <v>18.774</v>
      </c>
      <c r="I8" s="26" t="s">
        <v>153</v>
      </c>
    </row>
    <row r="9" customFormat="false" ht="15" hidden="false" customHeight="false" outlineLevel="0" collapsed="false">
      <c r="A9" s="20" t="s">
        <v>154</v>
      </c>
      <c r="B9" s="14" t="s">
        <v>92</v>
      </c>
      <c r="C9" s="14" t="s">
        <v>95</v>
      </c>
      <c r="D9" s="14" t="s">
        <v>149</v>
      </c>
      <c r="E9" s="14" t="s">
        <v>54</v>
      </c>
      <c r="F9" s="21" t="n">
        <v>1.4</v>
      </c>
      <c r="G9" s="31" t="n">
        <f aca="false">INDEX(Hypothèses!$B$30:$B$36,MATCH(E9,Hypothèses!$A$30:$A$36,0))</f>
        <v>2.1</v>
      </c>
      <c r="H9" s="22" t="n">
        <f aca="false">F9*G9</f>
        <v>2.94</v>
      </c>
      <c r="I9" s="26" t="s">
        <v>155</v>
      </c>
    </row>
    <row r="10" customFormat="false" ht="15" hidden="false" customHeight="false" outlineLevel="0" collapsed="false">
      <c r="A10" s="20" t="s">
        <v>156</v>
      </c>
      <c r="B10" s="14" t="s">
        <v>95</v>
      </c>
      <c r="C10" s="14" t="s">
        <v>98</v>
      </c>
      <c r="D10" s="14" t="s">
        <v>152</v>
      </c>
      <c r="E10" s="14" t="s">
        <v>54</v>
      </c>
      <c r="F10" s="21" t="n">
        <v>1.4</v>
      </c>
      <c r="G10" s="31" t="n">
        <f aca="false">INDEX(Hypothèses!$B$30:$B$36,MATCH(E10,Hypothèses!$A$30:$A$36,0))</f>
        <v>2.1</v>
      </c>
      <c r="H10" s="22" t="n">
        <f aca="false">F10*G10</f>
        <v>2.94</v>
      </c>
      <c r="I10" s="26" t="s">
        <v>157</v>
      </c>
    </row>
    <row r="11" customFormat="false" ht="15" hidden="false" customHeight="false" outlineLevel="0" collapsed="false">
      <c r="A11" s="20" t="s">
        <v>158</v>
      </c>
      <c r="B11" s="14" t="s">
        <v>131</v>
      </c>
      <c r="C11" s="14" t="s">
        <v>95</v>
      </c>
      <c r="D11" s="14" t="s">
        <v>159</v>
      </c>
      <c r="E11" s="14" t="s">
        <v>55</v>
      </c>
      <c r="F11" s="21" t="n">
        <v>1</v>
      </c>
      <c r="G11" s="31" t="n">
        <f aca="false">INDEX(Hypothèses!$B$30:$B$36,MATCH(E11,Hypothèses!$A$30:$A$36,0))</f>
        <v>2.1</v>
      </c>
      <c r="H11" s="22" t="n">
        <f aca="false">F11*G11</f>
        <v>2.1</v>
      </c>
      <c r="I11" s="26" t="s">
        <v>160</v>
      </c>
    </row>
    <row r="12" customFormat="false" ht="15" hidden="false" customHeight="false" outlineLevel="0" collapsed="false">
      <c r="A12" s="20" t="s">
        <v>161</v>
      </c>
      <c r="B12" s="14" t="s">
        <v>131</v>
      </c>
      <c r="C12" s="14" t="s">
        <v>92</v>
      </c>
      <c r="D12" s="14" t="s">
        <v>162</v>
      </c>
      <c r="E12" s="14" t="s">
        <v>54</v>
      </c>
      <c r="F12" s="21" t="n">
        <v>1.4</v>
      </c>
      <c r="G12" s="31" t="n">
        <f aca="false">INDEX(Hypothèses!$B$30:$B$36,MATCH(E12,Hypothèses!$A$30:$A$36,0))</f>
        <v>2.1</v>
      </c>
      <c r="H12" s="22" t="n">
        <f aca="false">F12*G12</f>
        <v>2.94</v>
      </c>
      <c r="I12" s="26"/>
    </row>
    <row r="13" customFormat="false" ht="15" hidden="false" customHeight="false" outlineLevel="0" collapsed="false">
      <c r="A13" s="20" t="s">
        <v>163</v>
      </c>
      <c r="B13" s="14" t="s">
        <v>131</v>
      </c>
      <c r="C13" s="14" t="s">
        <v>105</v>
      </c>
      <c r="D13" s="14" t="s">
        <v>164</v>
      </c>
      <c r="E13" s="14" t="s">
        <v>54</v>
      </c>
      <c r="F13" s="21" t="n">
        <v>2</v>
      </c>
      <c r="G13" s="31" t="n">
        <f aca="false">INDEX(Hypothèses!$B$30:$B$36,MATCH(E13,Hypothèses!$A$30:$A$36,0))</f>
        <v>2.1</v>
      </c>
      <c r="H13" s="22" t="n">
        <f aca="false">F13*G13</f>
        <v>4.2</v>
      </c>
      <c r="I13" s="26" t="s">
        <v>165</v>
      </c>
    </row>
    <row r="14" customFormat="false" ht="15" hidden="false" customHeight="false" outlineLevel="0" collapsed="false">
      <c r="A14" s="20" t="s">
        <v>166</v>
      </c>
      <c r="B14" s="14" t="s">
        <v>105</v>
      </c>
      <c r="C14" s="14" t="s">
        <v>101</v>
      </c>
      <c r="D14" s="14" t="s">
        <v>167</v>
      </c>
      <c r="E14" s="14" t="s">
        <v>54</v>
      </c>
      <c r="F14" s="21" t="n">
        <v>1.4</v>
      </c>
      <c r="G14" s="31" t="n">
        <f aca="false">INDEX(Hypothèses!$B$30:$B$36,MATCH(E14,Hypothèses!$A$30:$A$36,0))</f>
        <v>2.1</v>
      </c>
      <c r="H14" s="22" t="n">
        <f aca="false">F14*G14</f>
        <v>2.94</v>
      </c>
      <c r="I14" s="26"/>
    </row>
    <row r="15" customFormat="false" ht="15" hidden="false" customHeight="false" outlineLevel="0" collapsed="false">
      <c r="A15" s="20" t="s">
        <v>168</v>
      </c>
      <c r="B15" s="14" t="s">
        <v>105</v>
      </c>
      <c r="C15" s="14" t="s">
        <v>101</v>
      </c>
      <c r="D15" s="14" t="s">
        <v>167</v>
      </c>
      <c r="E15" s="14" t="s">
        <v>60</v>
      </c>
      <c r="F15" s="21" t="n">
        <v>1</v>
      </c>
      <c r="G15" s="31" t="n">
        <f aca="false">INDEX(Hypothèses!$B$30:$B$36,MATCH(E15,Hypothèses!$A$30:$A$36,0))</f>
        <v>0.8</v>
      </c>
      <c r="H15" s="22" t="n">
        <f aca="false">F15*G15</f>
        <v>0.8</v>
      </c>
      <c r="I15" s="26" t="s">
        <v>169</v>
      </c>
    </row>
    <row r="16" customFormat="false" ht="15" hidden="false" customHeight="false" outlineLevel="0" collapsed="false">
      <c r="A16" s="20" t="s">
        <v>170</v>
      </c>
      <c r="B16" s="14" t="s">
        <v>131</v>
      </c>
      <c r="C16" s="14" t="s">
        <v>108</v>
      </c>
      <c r="D16" s="14" t="s">
        <v>171</v>
      </c>
      <c r="E16" s="14" t="s">
        <v>55</v>
      </c>
      <c r="F16" s="21" t="n">
        <v>0.9</v>
      </c>
      <c r="G16" s="31" t="n">
        <f aca="false">INDEX(Hypothèses!$B$30:$B$36,MATCH(E16,Hypothèses!$A$30:$A$36,0))</f>
        <v>2.1</v>
      </c>
      <c r="H16" s="22" t="n">
        <f aca="false">F16*G16</f>
        <v>1.89</v>
      </c>
      <c r="I16" s="26"/>
    </row>
    <row r="17" customFormat="false" ht="15" hidden="false" customHeight="false" outlineLevel="0" collapsed="false">
      <c r="A17" s="20" t="s">
        <v>172</v>
      </c>
      <c r="B17" s="14" t="s">
        <v>108</v>
      </c>
      <c r="C17" s="14" t="s">
        <v>101</v>
      </c>
      <c r="D17" s="14" t="s">
        <v>173</v>
      </c>
      <c r="E17" s="14" t="s">
        <v>55</v>
      </c>
      <c r="F17" s="21" t="n">
        <v>0.9</v>
      </c>
      <c r="G17" s="31" t="n">
        <f aca="false">INDEX(Hypothèses!$B$30:$B$36,MATCH(E17,Hypothèses!$A$30:$A$36,0))</f>
        <v>2.1</v>
      </c>
      <c r="H17" s="22" t="n">
        <f aca="false">F17*G17</f>
        <v>1.89</v>
      </c>
      <c r="I17" s="26"/>
    </row>
    <row r="18" customFormat="false" ht="15" hidden="false" customHeight="false" outlineLevel="0" collapsed="false">
      <c r="A18" s="20" t="s">
        <v>174</v>
      </c>
      <c r="B18" s="14" t="s">
        <v>101</v>
      </c>
      <c r="C18" s="14" t="s">
        <v>111</v>
      </c>
      <c r="D18" s="14" t="s">
        <v>175</v>
      </c>
      <c r="E18" s="14" t="s">
        <v>54</v>
      </c>
      <c r="F18" s="21" t="n">
        <v>1.4</v>
      </c>
      <c r="G18" s="31" t="n">
        <f aca="false">INDEX(Hypothèses!$B$30:$B$36,MATCH(E18,Hypothèses!$A$30:$A$36,0))</f>
        <v>2.1</v>
      </c>
      <c r="H18" s="22" t="n">
        <f aca="false">F18*G18</f>
        <v>2.94</v>
      </c>
      <c r="I18" s="26"/>
    </row>
    <row r="19" customFormat="false" ht="15" hidden="false" customHeight="false" outlineLevel="0" collapsed="false">
      <c r="A19" s="20" t="s">
        <v>176</v>
      </c>
      <c r="B19" s="14" t="s">
        <v>101</v>
      </c>
      <c r="C19" s="14" t="s">
        <v>111</v>
      </c>
      <c r="D19" s="14" t="s">
        <v>175</v>
      </c>
      <c r="E19" s="14" t="s">
        <v>60</v>
      </c>
      <c r="F19" s="21" t="n">
        <v>1</v>
      </c>
      <c r="G19" s="31" t="n">
        <f aca="false">INDEX(Hypothèses!$B$30:$B$36,MATCH(E19,Hypothèses!$A$30:$A$36,0))</f>
        <v>0.8</v>
      </c>
      <c r="H19" s="22" t="n">
        <f aca="false">F19*G19</f>
        <v>0.8</v>
      </c>
      <c r="I19" s="26" t="s">
        <v>177</v>
      </c>
    </row>
    <row r="20" customFormat="false" ht="26.85" hidden="false" customHeight="false" outlineLevel="0" collapsed="false">
      <c r="A20" s="20" t="s">
        <v>178</v>
      </c>
      <c r="B20" s="14" t="s">
        <v>111</v>
      </c>
      <c r="C20" s="14" t="s">
        <v>114</v>
      </c>
      <c r="D20" s="14" t="s">
        <v>179</v>
      </c>
      <c r="E20" s="14" t="s">
        <v>58</v>
      </c>
      <c r="F20" s="21" t="n">
        <v>1.6</v>
      </c>
      <c r="G20" s="31" t="n">
        <f aca="false">INDEX(Hypothèses!$B$30:$B$36,MATCH(E20,Hypothèses!$A$30:$A$36,0))</f>
        <v>2.8</v>
      </c>
      <c r="H20" s="22" t="n">
        <f aca="false">F20*G20</f>
        <v>4.48</v>
      </c>
      <c r="I20" s="26" t="s">
        <v>180</v>
      </c>
    </row>
    <row r="21" customFormat="false" ht="15" hidden="false" customHeight="false" outlineLevel="0" collapsed="false">
      <c r="A21" s="20" t="s">
        <v>181</v>
      </c>
      <c r="B21" s="14" t="s">
        <v>131</v>
      </c>
      <c r="C21" s="14" t="s">
        <v>117</v>
      </c>
      <c r="D21" s="14" t="s">
        <v>182</v>
      </c>
      <c r="E21" s="14" t="s">
        <v>55</v>
      </c>
      <c r="F21" s="21" t="n">
        <v>0.9</v>
      </c>
      <c r="G21" s="31" t="n">
        <f aca="false">INDEX(Hypothèses!$B$30:$B$36,MATCH(E21,Hypothèses!$A$30:$A$36,0))</f>
        <v>2.1</v>
      </c>
      <c r="H21" s="22" t="n">
        <f aca="false">F21*G21</f>
        <v>1.89</v>
      </c>
      <c r="I21" s="26"/>
    </row>
    <row r="22" customFormat="false" ht="15" hidden="false" customHeight="false" outlineLevel="0" collapsed="false">
      <c r="A22" s="20" t="s">
        <v>183</v>
      </c>
      <c r="B22" s="14" t="s">
        <v>117</v>
      </c>
      <c r="C22" s="14" t="s">
        <v>114</v>
      </c>
      <c r="D22" s="14" t="s">
        <v>184</v>
      </c>
      <c r="E22" s="14" t="s">
        <v>55</v>
      </c>
      <c r="F22" s="21" t="n">
        <v>0.9</v>
      </c>
      <c r="G22" s="31" t="n">
        <f aca="false">INDEX(Hypothèses!$B$30:$B$36,MATCH(E22,Hypothèses!$A$30:$A$36,0))</f>
        <v>2.1</v>
      </c>
      <c r="H22" s="22" t="n">
        <f aca="false">F22*G22</f>
        <v>1.89</v>
      </c>
      <c r="I22" s="26"/>
    </row>
    <row r="23" customFormat="false" ht="15" hidden="false" customHeight="false" outlineLevel="0" collapsed="false">
      <c r="A23" s="20" t="s">
        <v>185</v>
      </c>
      <c r="B23" s="14" t="s">
        <v>114</v>
      </c>
      <c r="C23" s="14" t="s">
        <v>120</v>
      </c>
      <c r="D23" s="14" t="s">
        <v>186</v>
      </c>
      <c r="E23" s="14" t="s">
        <v>54</v>
      </c>
      <c r="F23" s="21" t="n">
        <v>1.4</v>
      </c>
      <c r="G23" s="31" t="n">
        <f aca="false">INDEX(Hypothèses!$B$30:$B$36,MATCH(E23,Hypothèses!$A$30:$A$36,0))</f>
        <v>2.1</v>
      </c>
      <c r="H23" s="22" t="n">
        <f aca="false">F23*G23</f>
        <v>2.94</v>
      </c>
      <c r="I23" s="26" t="s">
        <v>187</v>
      </c>
    </row>
    <row r="24" customFormat="false" ht="15" hidden="false" customHeight="false" outlineLevel="0" collapsed="false">
      <c r="A24" s="20" t="s">
        <v>188</v>
      </c>
      <c r="B24" s="14" t="s">
        <v>120</v>
      </c>
      <c r="C24" s="14" t="s">
        <v>120</v>
      </c>
      <c r="D24" s="14" t="s">
        <v>189</v>
      </c>
      <c r="E24" s="14" t="s">
        <v>54</v>
      </c>
      <c r="F24" s="21" t="n">
        <v>1.4</v>
      </c>
      <c r="G24" s="31" t="n">
        <f aca="false">INDEX(Hypothèses!$B$30:$B$36,MATCH(E24,Hypothèses!$A$30:$A$36,0))</f>
        <v>2.1</v>
      </c>
      <c r="H24" s="22" t="n">
        <f aca="false">F24*G24</f>
        <v>2.94</v>
      </c>
      <c r="I24" s="26" t="s">
        <v>190</v>
      </c>
    </row>
    <row r="25" customFormat="false" ht="15" hidden="false" customHeight="false" outlineLevel="0" collapsed="false">
      <c r="A25" s="20" t="s">
        <v>191</v>
      </c>
      <c r="B25" s="14" t="s">
        <v>120</v>
      </c>
      <c r="C25" s="14" t="s">
        <v>126</v>
      </c>
      <c r="D25" s="14" t="s">
        <v>192</v>
      </c>
      <c r="E25" s="14" t="s">
        <v>54</v>
      </c>
      <c r="F25" s="21" t="n">
        <v>1.4</v>
      </c>
      <c r="G25" s="31" t="n">
        <f aca="false">INDEX(Hypothèses!$B$30:$B$36,MATCH(E25,Hypothèses!$A$30:$A$36,0))</f>
        <v>2.1</v>
      </c>
      <c r="H25" s="22" t="n">
        <f aca="false">F25*G25</f>
        <v>2.94</v>
      </c>
      <c r="I25" s="26" t="s">
        <v>193</v>
      </c>
    </row>
    <row r="26" customFormat="false" ht="15" hidden="false" customHeight="false" outlineLevel="0" collapsed="false">
      <c r="A26" s="20" t="s">
        <v>194</v>
      </c>
      <c r="B26" s="14" t="s">
        <v>120</v>
      </c>
      <c r="C26" s="14" t="s">
        <v>123</v>
      </c>
      <c r="D26" s="14" t="s">
        <v>195</v>
      </c>
      <c r="E26" s="14" t="s">
        <v>54</v>
      </c>
      <c r="F26" s="21" t="n">
        <v>1.4</v>
      </c>
      <c r="G26" s="31" t="n">
        <f aca="false">INDEX(Hypothèses!$B$30:$B$36,MATCH(E26,Hypothèses!$A$30:$A$36,0))</f>
        <v>2.1</v>
      </c>
      <c r="H26" s="22" t="n">
        <f aca="false">F26*G26</f>
        <v>2.94</v>
      </c>
      <c r="I26" s="26" t="s">
        <v>196</v>
      </c>
    </row>
    <row r="27" customFormat="false" ht="15" hidden="false" customHeight="false" outlineLevel="0" collapsed="false">
      <c r="A27" s="20" t="s">
        <v>197</v>
      </c>
      <c r="B27" s="14" t="s">
        <v>120</v>
      </c>
      <c r="C27" s="14" t="s">
        <v>129</v>
      </c>
      <c r="D27" s="14" t="s">
        <v>198</v>
      </c>
      <c r="E27" s="14" t="s">
        <v>54</v>
      </c>
      <c r="F27" s="21" t="n">
        <v>1.4</v>
      </c>
      <c r="G27" s="31" t="n">
        <f aca="false">INDEX(Hypothèses!$B$30:$B$36,MATCH(E27,Hypothèses!$A$30:$A$36,0))</f>
        <v>2.1</v>
      </c>
      <c r="H27" s="22" t="n">
        <f aca="false">F27*G27</f>
        <v>2.94</v>
      </c>
      <c r="I27" s="26"/>
    </row>
    <row r="28" customFormat="false" ht="15" hidden="false" customHeight="false" outlineLevel="0" collapsed="false">
      <c r="A28" s="20" t="s">
        <v>199</v>
      </c>
      <c r="B28" s="14" t="s">
        <v>123</v>
      </c>
      <c r="C28" s="14" t="s">
        <v>66</v>
      </c>
      <c r="D28" s="14" t="s">
        <v>200</v>
      </c>
      <c r="E28" s="14" t="s">
        <v>56</v>
      </c>
      <c r="F28" s="21" t="n">
        <v>2.8</v>
      </c>
      <c r="G28" s="31" t="n">
        <f aca="false">INDEX(Hypothèses!$B$30:$B$36,MATCH(E28,Hypothèses!$A$30:$A$36,0))</f>
        <v>3</v>
      </c>
      <c r="H28" s="22" t="n">
        <f aca="false">F28*G28</f>
        <v>8.4</v>
      </c>
      <c r="I28" s="26" t="s">
        <v>201</v>
      </c>
    </row>
    <row r="29" customFormat="false" ht="15" hidden="false" customHeight="false" outlineLevel="0" collapsed="false">
      <c r="A29" s="20" t="s">
        <v>202</v>
      </c>
      <c r="B29" s="14" t="s">
        <v>123</v>
      </c>
      <c r="C29" s="14" t="s">
        <v>126</v>
      </c>
      <c r="D29" s="14" t="s">
        <v>203</v>
      </c>
      <c r="E29" s="14" t="s">
        <v>57</v>
      </c>
      <c r="F29" s="21" t="n">
        <v>2.4</v>
      </c>
      <c r="G29" s="31" t="n">
        <f aca="false">INDEX(Hypothèses!$B$30:$B$36,MATCH(E29,Hypothèses!$A$30:$A$36,0))</f>
        <v>3</v>
      </c>
      <c r="H29" s="22" t="n">
        <f aca="false">F29*G29</f>
        <v>7.2</v>
      </c>
      <c r="I29" s="26" t="s">
        <v>204</v>
      </c>
    </row>
    <row r="30" customFormat="false" ht="15" hidden="false" customHeight="false" outlineLevel="0" collapsed="false">
      <c r="A30" s="20" t="s">
        <v>205</v>
      </c>
      <c r="B30" s="14" t="s">
        <v>131</v>
      </c>
      <c r="C30" s="14" t="s">
        <v>66</v>
      </c>
      <c r="D30" s="14" t="s">
        <v>206</v>
      </c>
      <c r="E30" s="14" t="s">
        <v>54</v>
      </c>
      <c r="F30" s="21" t="n">
        <v>1.4</v>
      </c>
      <c r="G30" s="31" t="n">
        <f aca="false">INDEX(Hypothèses!$B$30:$B$36,MATCH(E30,Hypothèses!$A$30:$A$36,0))</f>
        <v>2.1</v>
      </c>
      <c r="H30" s="22" t="n">
        <f aca="false">F30*G30</f>
        <v>2.94</v>
      </c>
      <c r="I30" s="26" t="s">
        <v>207</v>
      </c>
    </row>
    <row r="31" customFormat="false" ht="15" hidden="false" customHeight="false" outlineLevel="0" collapsed="false">
      <c r="A31" s="20" t="s">
        <v>208</v>
      </c>
      <c r="B31" s="14" t="s">
        <v>131</v>
      </c>
      <c r="C31" s="14" t="s">
        <v>66</v>
      </c>
      <c r="D31" s="14" t="s">
        <v>206</v>
      </c>
      <c r="E31" s="14" t="s">
        <v>54</v>
      </c>
      <c r="F31" s="21" t="n">
        <v>1.4</v>
      </c>
      <c r="G31" s="31" t="n">
        <f aca="false">INDEX(Hypothèses!$B$30:$B$36,MATCH(E31,Hypothèses!$A$30:$A$36,0))</f>
        <v>2.1</v>
      </c>
      <c r="H31" s="22" t="n">
        <f aca="false">F31*G31</f>
        <v>2.94</v>
      </c>
      <c r="I31" s="26" t="s">
        <v>209</v>
      </c>
    </row>
    <row r="32" customFormat="false" ht="15" hidden="false" customHeight="false" outlineLevel="0" collapsed="false">
      <c r="A32" s="20" t="s">
        <v>210</v>
      </c>
      <c r="B32" s="14" t="s">
        <v>131</v>
      </c>
      <c r="C32" s="14" t="s">
        <v>131</v>
      </c>
      <c r="D32" s="14" t="s">
        <v>211</v>
      </c>
      <c r="E32" s="14" t="s">
        <v>54</v>
      </c>
      <c r="F32" s="21" t="n">
        <v>1.4</v>
      </c>
      <c r="G32" s="31" t="n">
        <f aca="false">INDEX(Hypothèses!$B$30:$B$36,MATCH(E32,Hypothèses!$A$30:$A$36,0))</f>
        <v>2.1</v>
      </c>
      <c r="H32" s="22" t="n">
        <f aca="false">F32*G32</f>
        <v>2.94</v>
      </c>
      <c r="I32" s="26" t="s">
        <v>212</v>
      </c>
    </row>
    <row r="33" customFormat="false" ht="15" hidden="false" customHeight="false" outlineLevel="0" collapsed="false">
      <c r="A33" s="20" t="s">
        <v>213</v>
      </c>
      <c r="B33" s="14" t="s">
        <v>131</v>
      </c>
      <c r="C33" s="14" t="s">
        <v>131</v>
      </c>
      <c r="D33" s="14" t="s">
        <v>211</v>
      </c>
      <c r="E33" s="14" t="s">
        <v>54</v>
      </c>
      <c r="F33" s="21" t="n">
        <v>1.4</v>
      </c>
      <c r="G33" s="31" t="n">
        <f aca="false">INDEX(Hypothèses!$B$30:$B$36,MATCH(E33,Hypothèses!$A$30:$A$36,0))</f>
        <v>2.1</v>
      </c>
      <c r="H33" s="22" t="n">
        <f aca="false">F33*G33</f>
        <v>2.94</v>
      </c>
      <c r="I33" s="26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8"/>
    <col collapsed="false" customWidth="true" hidden="false" outlineLevel="0" max="4" min="4" style="0" width="44"/>
    <col collapsed="false" customWidth="true" hidden="false" outlineLevel="0" max="6" min="5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4" min="11" style="0" width="10"/>
    <col collapsed="false" customWidth="true" hidden="false" outlineLevel="0" max="16" min="15" style="0" width="11"/>
  </cols>
  <sheetData>
    <row r="1" customFormat="false" ht="17.35" hidden="false" customHeight="false" outlineLevel="0" collapsed="false">
      <c r="A1" s="4" t="s">
        <v>215</v>
      </c>
    </row>
    <row r="2" customFormat="false" ht="15" hidden="false" customHeight="false" outlineLevel="0" collapsed="false">
      <c r="A2" s="8" t="s">
        <v>216</v>
      </c>
    </row>
    <row r="4" customFormat="false" ht="45" hidden="false" customHeight="true" outlineLevel="0" collapsed="false">
      <c r="A4" s="19" t="s">
        <v>140</v>
      </c>
      <c r="B4" s="19" t="s">
        <v>138</v>
      </c>
      <c r="C4" s="19" t="s">
        <v>139</v>
      </c>
      <c r="D4" s="19" t="s">
        <v>217</v>
      </c>
      <c r="E4" s="19" t="s">
        <v>218</v>
      </c>
      <c r="F4" s="19" t="s">
        <v>52</v>
      </c>
      <c r="G4" s="19" t="s">
        <v>219</v>
      </c>
      <c r="H4" s="19" t="s">
        <v>220</v>
      </c>
      <c r="I4" s="19" t="s">
        <v>65</v>
      </c>
      <c r="J4" s="19" t="s">
        <v>221</v>
      </c>
      <c r="K4" s="19" t="s">
        <v>47</v>
      </c>
      <c r="L4" s="19" t="s">
        <v>222</v>
      </c>
      <c r="M4" s="19" t="s">
        <v>223</v>
      </c>
      <c r="N4" s="19" t="s">
        <v>224</v>
      </c>
      <c r="O4" s="19" t="s">
        <v>225</v>
      </c>
      <c r="P4" s="19" t="s">
        <v>226</v>
      </c>
    </row>
    <row r="5" customFormat="false" ht="15" hidden="false" customHeight="false" outlineLevel="0" collapsed="false">
      <c r="A5" s="20" t="s">
        <v>227</v>
      </c>
      <c r="B5" s="14" t="s">
        <v>88</v>
      </c>
      <c r="C5" s="14" t="s">
        <v>66</v>
      </c>
      <c r="D5" s="14" t="s">
        <v>228</v>
      </c>
      <c r="E5" s="21" t="n">
        <v>24.44</v>
      </c>
      <c r="F5" s="23" t="n">
        <f aca="false">MAX(IFERROR(INDEX(Zones!$G$5:$G$19,MATCH(B5,Zones!$A$5:$A$19,0)),0),IFERROR(INDEX(Zones!$G$5:$G$19,MATCH(C5,Zones!$A$5:$A$19,0)),0))</f>
        <v>6</v>
      </c>
      <c r="G5" s="22" t="n">
        <f aca="false">E5*F5</f>
        <v>146.64</v>
      </c>
      <c r="H5" s="22" t="n">
        <f aca="false">SUMIF(Portes!$D$5:$D$33,A5,Portes!$H$5:$H$33)</f>
        <v>0</v>
      </c>
      <c r="I5" s="14" t="str">
        <f aca="false">IF(OR(INDEX(Hypothèses!$D$41:$D$61,MATCH(B5,Hypothèses!$A$41:$A$61,0))="Oui",INDEX(Hypothèses!$D$41:$D$61,MATCH(C5,Hypothèses!$A$41:$A$61,0))="Oui"),"Oui","Non")</f>
        <v>Oui</v>
      </c>
      <c r="J5" s="22" t="n">
        <f aca="false">MAX(0,G5-H5)</f>
        <v>146.64</v>
      </c>
      <c r="K5" s="18" t="n">
        <f aca="false">IF(I5="Oui",MAX(INDEX(Hypothèses!$C$41:$C$61,MATCH(B5,Hypothèses!$A$41:$A$61,0)),INDEX(Hypothèses!$C$41:$C$61,MATCH(C5,Hypothèses!$A$41:$A$61,0))),0)</f>
        <v>60</v>
      </c>
      <c r="L5" s="32" t="n">
        <f aca="false">IF(K5&gt;0,Hypothèses!$B$4/(K5/1000),0)</f>
        <v>0.366666666666667</v>
      </c>
      <c r="M5" s="18" t="n">
        <f aca="false">INDEX(Hypothèses!$B$41:$B$61,MATCH(B5,Hypothèses!$A$41:$A$61,0))</f>
        <v>30</v>
      </c>
      <c r="N5" s="18" t="n">
        <f aca="false">INDEX(Hypothèses!$B$41:$B$61,MATCH(C5,Hypothèses!$A$41:$A$61,0))</f>
        <v>40</v>
      </c>
      <c r="O5" s="24" t="n">
        <f aca="false">L5*J5*MAX(0,N5-M5)</f>
        <v>537.68</v>
      </c>
      <c r="P5" s="24" t="n">
        <f aca="false">L5*J5*MAX(0,M5-N5)</f>
        <v>0</v>
      </c>
    </row>
    <row r="6" customFormat="false" ht="15" hidden="false" customHeight="false" outlineLevel="0" collapsed="false">
      <c r="A6" s="20" t="s">
        <v>143</v>
      </c>
      <c r="B6" s="14" t="s">
        <v>88</v>
      </c>
      <c r="C6" s="14" t="s">
        <v>70</v>
      </c>
      <c r="D6" s="14" t="s">
        <v>229</v>
      </c>
      <c r="E6" s="21" t="n">
        <v>11.83</v>
      </c>
      <c r="F6" s="23" t="n">
        <f aca="false">MAX(IFERROR(INDEX(Zones!$G$5:$G$19,MATCH(B6,Zones!$A$5:$A$19,0)),0),IFERROR(INDEX(Zones!$G$5:$G$19,MATCH(C6,Zones!$A$5:$A$19,0)),0))</f>
        <v>6</v>
      </c>
      <c r="G6" s="22" t="n">
        <f aca="false">E6*F6</f>
        <v>70.98</v>
      </c>
      <c r="H6" s="22" t="n">
        <f aca="false">SUMIF(Portes!$D$5:$D$33,A6,Portes!$H$5:$H$33)</f>
        <v>3.15</v>
      </c>
      <c r="I6" s="14" t="str">
        <f aca="false">IF(OR(INDEX(Hypothèses!$D$41:$D$61,MATCH(B6,Hypothèses!$A$41:$A$61,0))="Oui",INDEX(Hypothèses!$D$41:$D$61,MATCH(C6,Hypothèses!$A$41:$A$61,0))="Oui"),"Oui","Non")</f>
        <v>Oui</v>
      </c>
      <c r="J6" s="22" t="n">
        <f aca="false">MAX(0,G6-H6)</f>
        <v>67.83</v>
      </c>
      <c r="K6" s="18" t="n">
        <f aca="false">IF(I6="Oui",MAX(INDEX(Hypothèses!$C$41:$C$61,MATCH(B6,Hypothèses!$A$41:$A$61,0)),INDEX(Hypothèses!$C$41:$C$61,MATCH(C6,Hypothèses!$A$41:$A$61,0))),0)</f>
        <v>60</v>
      </c>
      <c r="L6" s="32" t="n">
        <f aca="false">IF(K6&gt;0,Hypothèses!$B$4/(K6/1000),0)</f>
        <v>0.366666666666667</v>
      </c>
      <c r="M6" s="18" t="n">
        <f aca="false">INDEX(Hypothèses!$B$41:$B$61,MATCH(B6,Hypothèses!$A$41:$A$61,0))</f>
        <v>30</v>
      </c>
      <c r="N6" s="18" t="n">
        <f aca="false">INDEX(Hypothèses!$B$41:$B$61,MATCH(C6,Hypothèses!$A$41:$A$61,0))</f>
        <v>30</v>
      </c>
      <c r="O6" s="24" t="n">
        <f aca="false">L6*J6*MAX(0,N6-M6)</f>
        <v>0</v>
      </c>
      <c r="P6" s="24" t="n">
        <f aca="false">L6*J6*MAX(0,M6-N6)</f>
        <v>0</v>
      </c>
    </row>
    <row r="7" customFormat="false" ht="15" hidden="false" customHeight="false" outlineLevel="0" collapsed="false">
      <c r="A7" s="20" t="s">
        <v>230</v>
      </c>
      <c r="B7" s="14" t="s">
        <v>88</v>
      </c>
      <c r="C7" s="14" t="s">
        <v>66</v>
      </c>
      <c r="D7" s="14" t="s">
        <v>231</v>
      </c>
      <c r="E7" s="21" t="n">
        <v>11.83</v>
      </c>
      <c r="F7" s="23" t="n">
        <f aca="false">MAX(IFERROR(INDEX(Zones!$G$5:$G$19,MATCH(B7,Zones!$A$5:$A$19,0)),0),IFERROR(INDEX(Zones!$G$5:$G$19,MATCH(C7,Zones!$A$5:$A$19,0)),0))</f>
        <v>6</v>
      </c>
      <c r="G7" s="22" t="n">
        <f aca="false">E7*F7</f>
        <v>70.98</v>
      </c>
      <c r="H7" s="22" t="n">
        <f aca="false">SUMIF(Portes!$D$5:$D$33,A7,Portes!$H$5:$H$33)</f>
        <v>0</v>
      </c>
      <c r="I7" s="14" t="str">
        <f aca="false">IF(OR(INDEX(Hypothèses!$D$41:$D$61,MATCH(B7,Hypothèses!$A$41:$A$61,0))="Oui",INDEX(Hypothèses!$D$41:$D$61,MATCH(C7,Hypothèses!$A$41:$A$61,0))="Oui"),"Oui","Non")</f>
        <v>Oui</v>
      </c>
      <c r="J7" s="22" t="n">
        <f aca="false">MAX(0,G7-H7)</f>
        <v>70.98</v>
      </c>
      <c r="K7" s="18" t="n">
        <f aca="false">IF(I7="Oui",MAX(INDEX(Hypothèses!$C$41:$C$61,MATCH(B7,Hypothèses!$A$41:$A$61,0)),INDEX(Hypothèses!$C$41:$C$61,MATCH(C7,Hypothèses!$A$41:$A$61,0))),0)</f>
        <v>60</v>
      </c>
      <c r="L7" s="32" t="n">
        <f aca="false">IF(K7&gt;0,Hypothèses!$B$4/(K7/1000),0)</f>
        <v>0.366666666666667</v>
      </c>
      <c r="M7" s="18" t="n">
        <f aca="false">INDEX(Hypothèses!$B$41:$B$61,MATCH(B7,Hypothèses!$A$41:$A$61,0))</f>
        <v>30</v>
      </c>
      <c r="N7" s="18" t="n">
        <f aca="false">INDEX(Hypothèses!$B$41:$B$61,MATCH(C7,Hypothèses!$A$41:$A$61,0))</f>
        <v>40</v>
      </c>
      <c r="O7" s="24" t="n">
        <f aca="false">L7*J7*MAX(0,N7-M7)</f>
        <v>260.26</v>
      </c>
      <c r="P7" s="24" t="n">
        <f aca="false">L7*J7*MAX(0,M7-N7)</f>
        <v>0</v>
      </c>
    </row>
    <row r="8" customFormat="false" ht="15" hidden="false" customHeight="false" outlineLevel="0" collapsed="false">
      <c r="A8" s="20" t="s">
        <v>232</v>
      </c>
      <c r="B8" s="14" t="s">
        <v>88</v>
      </c>
      <c r="C8" s="14" t="s">
        <v>131</v>
      </c>
      <c r="D8" s="14" t="s">
        <v>233</v>
      </c>
      <c r="E8" s="21" t="n">
        <v>4</v>
      </c>
      <c r="F8" s="23" t="n">
        <f aca="false">MAX(IFERROR(INDEX(Zones!$G$5:$G$19,MATCH(B8,Zones!$A$5:$A$19,0)),0),IFERROR(INDEX(Zones!$G$5:$G$19,MATCH(C8,Zones!$A$5:$A$19,0)),0))</f>
        <v>6</v>
      </c>
      <c r="G8" s="22" t="n">
        <f aca="false">E8*F8</f>
        <v>24</v>
      </c>
      <c r="H8" s="22" t="n">
        <f aca="false">SUMIF(Portes!$D$5:$D$33,A8,Portes!$H$5:$H$33)</f>
        <v>0</v>
      </c>
      <c r="I8" s="14" t="str">
        <f aca="false">IF(OR(INDEX(Hypothèses!$D$41:$D$61,MATCH(B8,Hypothèses!$A$41:$A$61,0))="Oui",INDEX(Hypothèses!$D$41:$D$61,MATCH(C8,Hypothèses!$A$41:$A$61,0))="Oui"),"Oui","Non")</f>
        <v>Oui</v>
      </c>
      <c r="J8" s="22" t="n">
        <f aca="false">MAX(0,G8-H8)</f>
        <v>24</v>
      </c>
      <c r="K8" s="18" t="n">
        <f aca="false">IF(I8="Oui",MAX(INDEX(Hypothèses!$C$41:$C$61,MATCH(B8,Hypothèses!$A$41:$A$61,0)),INDEX(Hypothèses!$C$41:$C$61,MATCH(C8,Hypothèses!$A$41:$A$61,0))),0)</f>
        <v>60</v>
      </c>
      <c r="L8" s="32" t="n">
        <f aca="false">IF(K8&gt;0,Hypothèses!$B$4/(K8/1000),0)</f>
        <v>0.366666666666667</v>
      </c>
      <c r="M8" s="18" t="n">
        <f aca="false">INDEX(Hypothèses!$B$41:$B$61,MATCH(B8,Hypothèses!$A$41:$A$61,0))</f>
        <v>30</v>
      </c>
      <c r="N8" s="18" t="n">
        <f aca="false">INDEX(Hypothèses!$B$41:$B$61,MATCH(C8,Hypothèses!$A$41:$A$61,0))</f>
        <v>30</v>
      </c>
      <c r="O8" s="24" t="n">
        <f aca="false">L8*J8*MAX(0,N8-M8)</f>
        <v>0</v>
      </c>
      <c r="P8" s="24" t="n">
        <f aca="false">L8*J8*MAX(0,M8-N8)</f>
        <v>0</v>
      </c>
    </row>
    <row r="9" customFormat="false" ht="15" hidden="false" customHeight="false" outlineLevel="0" collapsed="false">
      <c r="A9" s="20" t="s">
        <v>146</v>
      </c>
      <c r="B9" s="14" t="s">
        <v>88</v>
      </c>
      <c r="C9" s="14" t="s">
        <v>92</v>
      </c>
      <c r="D9" s="14" t="s">
        <v>234</v>
      </c>
      <c r="E9" s="21" t="n">
        <v>20.34</v>
      </c>
      <c r="F9" s="23" t="n">
        <f aca="false">MAX(IFERROR(INDEX(Zones!$G$5:$G$19,MATCH(B9,Zones!$A$5:$A$19,0)),0),IFERROR(INDEX(Zones!$G$5:$G$19,MATCH(C9,Zones!$A$5:$A$19,0)),0))</f>
        <v>6</v>
      </c>
      <c r="G9" s="22" t="n">
        <f aca="false">E9*F9</f>
        <v>122.04</v>
      </c>
      <c r="H9" s="22" t="n">
        <f aca="false">SUMIF(Portes!$D$5:$D$33,A9,Portes!$H$5:$H$33)</f>
        <v>2.94</v>
      </c>
      <c r="I9" s="14" t="str">
        <f aca="false">IF(OR(INDEX(Hypothèses!$D$41:$D$61,MATCH(B9,Hypothèses!$A$41:$A$61,0))="Oui",INDEX(Hypothèses!$D$41:$D$61,MATCH(C9,Hypothèses!$A$41:$A$61,0))="Oui"),"Oui","Non")</f>
        <v>Oui</v>
      </c>
      <c r="J9" s="22" t="n">
        <f aca="false">MAX(0,G9-H9)</f>
        <v>119.1</v>
      </c>
      <c r="K9" s="18" t="n">
        <f aca="false">IF(I9="Oui",MAX(INDEX(Hypothèses!$C$41:$C$61,MATCH(B9,Hypothèses!$A$41:$A$61,0)),INDEX(Hypothèses!$C$41:$C$61,MATCH(C9,Hypothèses!$A$41:$A$61,0))),0)</f>
        <v>60</v>
      </c>
      <c r="L9" s="32" t="n">
        <f aca="false">IF(K9&gt;0,Hypothèses!$B$4/(K9/1000),0)</f>
        <v>0.366666666666667</v>
      </c>
      <c r="M9" s="18" t="n">
        <f aca="false">INDEX(Hypothèses!$B$41:$B$61,MATCH(B9,Hypothèses!$A$41:$A$61,0))</f>
        <v>30</v>
      </c>
      <c r="N9" s="18" t="n">
        <f aca="false">INDEX(Hypothèses!$B$41:$B$61,MATCH(C9,Hypothèses!$A$41:$A$61,0))</f>
        <v>30</v>
      </c>
      <c r="O9" s="24" t="n">
        <f aca="false">L9*J9*MAX(0,N9-M9)</f>
        <v>0</v>
      </c>
      <c r="P9" s="24" t="n">
        <f aca="false">L9*J9*MAX(0,M9-N9)</f>
        <v>0</v>
      </c>
    </row>
    <row r="10" customFormat="false" ht="15" hidden="false" customHeight="false" outlineLevel="0" collapsed="false">
      <c r="A10" s="20" t="s">
        <v>235</v>
      </c>
      <c r="B10" s="14" t="s">
        <v>92</v>
      </c>
      <c r="C10" s="14" t="s">
        <v>66</v>
      </c>
      <c r="D10" s="14" t="s">
        <v>236</v>
      </c>
      <c r="E10" s="21" t="n">
        <v>8.4</v>
      </c>
      <c r="F10" s="23" t="n">
        <f aca="false">MAX(IFERROR(INDEX(Zones!$G$5:$G$19,MATCH(B10,Zones!$A$5:$A$19,0)),0),IFERROR(INDEX(Zones!$G$5:$G$19,MATCH(C10,Zones!$A$5:$A$19,0)),0))</f>
        <v>6</v>
      </c>
      <c r="G10" s="22" t="n">
        <f aca="false">E10*F10</f>
        <v>50.4</v>
      </c>
      <c r="H10" s="22" t="n">
        <f aca="false">SUMIF(Portes!$D$5:$D$33,A10,Portes!$H$5:$H$33)</f>
        <v>0</v>
      </c>
      <c r="I10" s="14" t="str">
        <f aca="false">IF(OR(INDEX(Hypothèses!$D$41:$D$61,MATCH(B10,Hypothèses!$A$41:$A$61,0))="Oui",INDEX(Hypothèses!$D$41:$D$61,MATCH(C10,Hypothèses!$A$41:$A$61,0))="Oui"),"Oui","Non")</f>
        <v>Oui</v>
      </c>
      <c r="J10" s="22" t="n">
        <f aca="false">MAX(0,G10-H10)</f>
        <v>50.4</v>
      </c>
      <c r="K10" s="18" t="n">
        <f aca="false">IF(I10="Oui",MAX(INDEX(Hypothèses!$C$41:$C$61,MATCH(B10,Hypothèses!$A$41:$A$61,0)),INDEX(Hypothèses!$C$41:$C$61,MATCH(C10,Hypothèses!$A$41:$A$61,0))),0)</f>
        <v>60</v>
      </c>
      <c r="L10" s="32" t="n">
        <f aca="false">IF(K10&gt;0,Hypothèses!$B$4/(K10/1000),0)</f>
        <v>0.366666666666667</v>
      </c>
      <c r="M10" s="18" t="n">
        <f aca="false">INDEX(Hypothèses!$B$41:$B$61,MATCH(B10,Hypothèses!$A$41:$A$61,0))</f>
        <v>30</v>
      </c>
      <c r="N10" s="18" t="n">
        <f aca="false">INDEX(Hypothèses!$B$41:$B$61,MATCH(C10,Hypothèses!$A$41:$A$61,0))</f>
        <v>40</v>
      </c>
      <c r="O10" s="24" t="n">
        <f aca="false">L10*J10*MAX(0,N10-M10)</f>
        <v>184.8</v>
      </c>
      <c r="P10" s="24" t="n">
        <f aca="false">L10*J10*MAX(0,M10-N10)</f>
        <v>0</v>
      </c>
    </row>
    <row r="11" customFormat="false" ht="15" hidden="false" customHeight="false" outlineLevel="0" collapsed="false">
      <c r="A11" s="20" t="s">
        <v>149</v>
      </c>
      <c r="B11" s="14" t="s">
        <v>92</v>
      </c>
      <c r="C11" s="14" t="s">
        <v>95</v>
      </c>
      <c r="D11" s="14" t="s">
        <v>237</v>
      </c>
      <c r="E11" s="21" t="n">
        <v>20.34</v>
      </c>
      <c r="F11" s="23" t="n">
        <f aca="false">MAX(IFERROR(INDEX(Zones!$G$5:$G$19,MATCH(B11,Zones!$A$5:$A$19,0)),0),IFERROR(INDEX(Zones!$G$5:$G$19,MATCH(C11,Zones!$A$5:$A$19,0)),0))</f>
        <v>6</v>
      </c>
      <c r="G11" s="22" t="n">
        <f aca="false">E11*F11</f>
        <v>122.04</v>
      </c>
      <c r="H11" s="22" t="n">
        <f aca="false">SUMIF(Portes!$D$5:$D$33,A11,Portes!$H$5:$H$33)</f>
        <v>21.714</v>
      </c>
      <c r="I11" s="14" t="str">
        <f aca="false">IF(OR(INDEX(Hypothèses!$D$41:$D$61,MATCH(B11,Hypothèses!$A$41:$A$61,0))="Oui",INDEX(Hypothèses!$D$41:$D$61,MATCH(C11,Hypothèses!$A$41:$A$61,0))="Oui"),"Oui","Non")</f>
        <v>Oui</v>
      </c>
      <c r="J11" s="22" t="n">
        <f aca="false">MAX(0,G11-H11)</f>
        <v>100.326</v>
      </c>
      <c r="K11" s="18" t="n">
        <f aca="false">IF(I11="Oui",MAX(INDEX(Hypothèses!$C$41:$C$61,MATCH(B11,Hypothèses!$A$41:$A$61,0)),INDEX(Hypothèses!$C$41:$C$61,MATCH(C11,Hypothèses!$A$41:$A$61,0))),0)</f>
        <v>60</v>
      </c>
      <c r="L11" s="32" t="n">
        <f aca="false">IF(K11&gt;0,Hypothèses!$B$4/(K11/1000),0)</f>
        <v>0.366666666666667</v>
      </c>
      <c r="M11" s="18" t="n">
        <f aca="false">INDEX(Hypothèses!$B$41:$B$61,MATCH(B11,Hypothèses!$A$41:$A$61,0))</f>
        <v>30</v>
      </c>
      <c r="N11" s="18" t="n">
        <f aca="false">INDEX(Hypothèses!$B$41:$B$61,MATCH(C11,Hypothèses!$A$41:$A$61,0))</f>
        <v>35</v>
      </c>
      <c r="O11" s="24" t="n">
        <f aca="false">L11*J11*MAX(0,N11-M11)</f>
        <v>183.931</v>
      </c>
      <c r="P11" s="24" t="n">
        <f aca="false">L11*J11*MAX(0,M11-N11)</f>
        <v>0</v>
      </c>
    </row>
    <row r="12" customFormat="false" ht="15" hidden="false" customHeight="false" outlineLevel="0" collapsed="false">
      <c r="A12" s="20" t="s">
        <v>162</v>
      </c>
      <c r="B12" s="14" t="s">
        <v>92</v>
      </c>
      <c r="C12" s="14" t="s">
        <v>131</v>
      </c>
      <c r="D12" s="14" t="s">
        <v>238</v>
      </c>
      <c r="E12" s="21" t="n">
        <v>8.4</v>
      </c>
      <c r="F12" s="23" t="n">
        <f aca="false">MAX(IFERROR(INDEX(Zones!$G$5:$G$19,MATCH(B12,Zones!$A$5:$A$19,0)),0),IFERROR(INDEX(Zones!$G$5:$G$19,MATCH(C12,Zones!$A$5:$A$19,0)),0))</f>
        <v>6</v>
      </c>
      <c r="G12" s="22" t="n">
        <f aca="false">E12*F12</f>
        <v>50.4</v>
      </c>
      <c r="H12" s="22" t="n">
        <f aca="false">SUMIF(Portes!$D$5:$D$33,A12,Portes!$H$5:$H$33)</f>
        <v>2.94</v>
      </c>
      <c r="I12" s="14" t="str">
        <f aca="false">IF(OR(INDEX(Hypothèses!$D$41:$D$61,MATCH(B12,Hypothèses!$A$41:$A$61,0))="Oui",INDEX(Hypothèses!$D$41:$D$61,MATCH(C12,Hypothèses!$A$41:$A$61,0))="Oui"),"Oui","Non")</f>
        <v>Oui</v>
      </c>
      <c r="J12" s="22" t="n">
        <f aca="false">MAX(0,G12-H12)</f>
        <v>47.46</v>
      </c>
      <c r="K12" s="18" t="n">
        <f aca="false">IF(I12="Oui",MAX(INDEX(Hypothèses!$C$41:$C$61,MATCH(B12,Hypothèses!$A$41:$A$61,0)),INDEX(Hypothèses!$C$41:$C$61,MATCH(C12,Hypothèses!$A$41:$A$61,0))),0)</f>
        <v>60</v>
      </c>
      <c r="L12" s="32" t="n">
        <f aca="false">IF(K12&gt;0,Hypothèses!$B$4/(K12/1000),0)</f>
        <v>0.366666666666667</v>
      </c>
      <c r="M12" s="18" t="n">
        <f aca="false">INDEX(Hypothèses!$B$41:$B$61,MATCH(B12,Hypothèses!$A$41:$A$61,0))</f>
        <v>30</v>
      </c>
      <c r="N12" s="18" t="n">
        <f aca="false">INDEX(Hypothèses!$B$41:$B$61,MATCH(C12,Hypothèses!$A$41:$A$61,0))</f>
        <v>30</v>
      </c>
      <c r="O12" s="24" t="n">
        <f aca="false">L12*J12*MAX(0,N12-M12)</f>
        <v>0</v>
      </c>
      <c r="P12" s="24" t="n">
        <f aca="false">L12*J12*MAX(0,M12-N12)</f>
        <v>0</v>
      </c>
    </row>
    <row r="13" customFormat="false" ht="15" hidden="false" customHeight="false" outlineLevel="0" collapsed="false">
      <c r="A13" s="20" t="s">
        <v>152</v>
      </c>
      <c r="B13" s="14" t="s">
        <v>95</v>
      </c>
      <c r="C13" s="14" t="s">
        <v>98</v>
      </c>
      <c r="D13" s="14" t="s">
        <v>239</v>
      </c>
      <c r="E13" s="21" t="n">
        <v>20.34</v>
      </c>
      <c r="F13" s="23" t="n">
        <f aca="false">MAX(IFERROR(INDEX(Zones!$G$5:$G$19,MATCH(B13,Zones!$A$5:$A$19,0)),0),IFERROR(INDEX(Zones!$G$5:$G$19,MATCH(C13,Zones!$A$5:$A$19,0)),0))</f>
        <v>6</v>
      </c>
      <c r="G13" s="22" t="n">
        <f aca="false">E13*F13</f>
        <v>122.04</v>
      </c>
      <c r="H13" s="22" t="n">
        <f aca="false">SUMIF(Portes!$D$5:$D$33,A13,Portes!$H$5:$H$33)</f>
        <v>21.714</v>
      </c>
      <c r="I13" s="14" t="str">
        <f aca="false">IF(OR(INDEX(Hypothèses!$D$41:$D$61,MATCH(B13,Hypothèses!$A$41:$A$61,0))="Oui",INDEX(Hypothèses!$D$41:$D$61,MATCH(C13,Hypothèses!$A$41:$A$61,0))="Oui"),"Oui","Non")</f>
        <v>Oui</v>
      </c>
      <c r="J13" s="22" t="n">
        <f aca="false">MAX(0,G13-H13)</f>
        <v>100.326</v>
      </c>
      <c r="K13" s="18" t="n">
        <f aca="false">IF(I13="Oui",MAX(INDEX(Hypothèses!$C$41:$C$61,MATCH(B13,Hypothèses!$A$41:$A$61,0)),INDEX(Hypothèses!$C$41:$C$61,MATCH(C13,Hypothèses!$A$41:$A$61,0))),0)</f>
        <v>60</v>
      </c>
      <c r="L13" s="32" t="n">
        <f aca="false">IF(K13&gt;0,Hypothèses!$B$4/(K13/1000),0)</f>
        <v>0.366666666666667</v>
      </c>
      <c r="M13" s="18" t="n">
        <f aca="false">INDEX(Hypothèses!$B$41:$B$61,MATCH(B13,Hypothèses!$A$41:$A$61,0))</f>
        <v>35</v>
      </c>
      <c r="N13" s="18" t="n">
        <f aca="false">INDEX(Hypothèses!$B$41:$B$61,MATCH(C13,Hypothèses!$A$41:$A$61,0))</f>
        <v>30</v>
      </c>
      <c r="O13" s="24" t="n">
        <f aca="false">L13*J13*MAX(0,N13-M13)</f>
        <v>0</v>
      </c>
      <c r="P13" s="24" t="n">
        <f aca="false">L13*J13*MAX(0,M13-N13)</f>
        <v>183.931</v>
      </c>
    </row>
    <row r="14" customFormat="false" ht="15" hidden="false" customHeight="false" outlineLevel="0" collapsed="false">
      <c r="A14" s="20" t="s">
        <v>240</v>
      </c>
      <c r="B14" s="14" t="s">
        <v>95</v>
      </c>
      <c r="C14" s="14" t="s">
        <v>66</v>
      </c>
      <c r="D14" s="14" t="s">
        <v>241</v>
      </c>
      <c r="E14" s="21" t="n">
        <v>7.3</v>
      </c>
      <c r="F14" s="23" t="n">
        <f aca="false">MAX(IFERROR(INDEX(Zones!$G$5:$G$19,MATCH(B14,Zones!$A$5:$A$19,0)),0),IFERROR(INDEX(Zones!$G$5:$G$19,MATCH(C14,Zones!$A$5:$A$19,0)),0))</f>
        <v>6</v>
      </c>
      <c r="G14" s="22" t="n">
        <f aca="false">E14*F14</f>
        <v>43.8</v>
      </c>
      <c r="H14" s="22" t="n">
        <f aca="false">SUMIF(Portes!$D$5:$D$33,A14,Portes!$H$5:$H$33)</f>
        <v>0</v>
      </c>
      <c r="I14" s="14" t="str">
        <f aca="false">IF(OR(INDEX(Hypothèses!$D$41:$D$61,MATCH(B14,Hypothèses!$A$41:$A$61,0))="Oui",INDEX(Hypothèses!$D$41:$D$61,MATCH(C14,Hypothèses!$A$41:$A$61,0))="Oui"),"Oui","Non")</f>
        <v>Oui</v>
      </c>
      <c r="J14" s="22" t="n">
        <f aca="false">MAX(0,G14-H14)</f>
        <v>43.8</v>
      </c>
      <c r="K14" s="18" t="n">
        <f aca="false">IF(I14="Oui",MAX(INDEX(Hypothèses!$C$41:$C$61,MATCH(B14,Hypothèses!$A$41:$A$61,0)),INDEX(Hypothèses!$C$41:$C$61,MATCH(C14,Hypothèses!$A$41:$A$61,0))),0)</f>
        <v>60</v>
      </c>
      <c r="L14" s="32" t="n">
        <f aca="false">IF(K14&gt;0,Hypothèses!$B$4/(K14/1000),0)</f>
        <v>0.366666666666667</v>
      </c>
      <c r="M14" s="18" t="n">
        <f aca="false">INDEX(Hypothèses!$B$41:$B$61,MATCH(B14,Hypothèses!$A$41:$A$61,0))</f>
        <v>35</v>
      </c>
      <c r="N14" s="18" t="n">
        <f aca="false">INDEX(Hypothèses!$B$41:$B$61,MATCH(C14,Hypothèses!$A$41:$A$61,0))</f>
        <v>40</v>
      </c>
      <c r="O14" s="24" t="n">
        <f aca="false">L14*J14*MAX(0,N14-M14)</f>
        <v>80.3</v>
      </c>
      <c r="P14" s="24" t="n">
        <f aca="false">L14*J14*MAX(0,M14-N14)</f>
        <v>0</v>
      </c>
    </row>
    <row r="15" customFormat="false" ht="15" hidden="false" customHeight="false" outlineLevel="0" collapsed="false">
      <c r="A15" s="20" t="s">
        <v>159</v>
      </c>
      <c r="B15" s="14" t="s">
        <v>95</v>
      </c>
      <c r="C15" s="14" t="s">
        <v>131</v>
      </c>
      <c r="D15" s="14" t="s">
        <v>242</v>
      </c>
      <c r="E15" s="21" t="n">
        <v>7.3</v>
      </c>
      <c r="F15" s="23" t="n">
        <f aca="false">MAX(IFERROR(INDEX(Zones!$G$5:$G$19,MATCH(B15,Zones!$A$5:$A$19,0)),0),IFERROR(INDEX(Zones!$G$5:$G$19,MATCH(C15,Zones!$A$5:$A$19,0)),0))</f>
        <v>6</v>
      </c>
      <c r="G15" s="22" t="n">
        <f aca="false">E15*F15</f>
        <v>43.8</v>
      </c>
      <c r="H15" s="22" t="n">
        <f aca="false">SUMIF(Portes!$D$5:$D$33,A15,Portes!$H$5:$H$33)</f>
        <v>2.1</v>
      </c>
      <c r="I15" s="14" t="str">
        <f aca="false">IF(OR(INDEX(Hypothèses!$D$41:$D$61,MATCH(B15,Hypothèses!$A$41:$A$61,0))="Oui",INDEX(Hypothèses!$D$41:$D$61,MATCH(C15,Hypothèses!$A$41:$A$61,0))="Oui"),"Oui","Non")</f>
        <v>Oui</v>
      </c>
      <c r="J15" s="22" t="n">
        <f aca="false">MAX(0,G15-H15)</f>
        <v>41.7</v>
      </c>
      <c r="K15" s="18" t="n">
        <f aca="false">IF(I15="Oui",MAX(INDEX(Hypothèses!$C$41:$C$61,MATCH(B15,Hypothèses!$A$41:$A$61,0)),INDEX(Hypothèses!$C$41:$C$61,MATCH(C15,Hypothèses!$A$41:$A$61,0))),0)</f>
        <v>60</v>
      </c>
      <c r="L15" s="32" t="n">
        <f aca="false">IF(K15&gt;0,Hypothèses!$B$4/(K15/1000),0)</f>
        <v>0.366666666666667</v>
      </c>
      <c r="M15" s="18" t="n">
        <f aca="false">INDEX(Hypothèses!$B$41:$B$61,MATCH(B15,Hypothèses!$A$41:$A$61,0))</f>
        <v>35</v>
      </c>
      <c r="N15" s="18" t="n">
        <f aca="false">INDEX(Hypothèses!$B$41:$B$61,MATCH(C15,Hypothèses!$A$41:$A$61,0))</f>
        <v>30</v>
      </c>
      <c r="O15" s="24" t="n">
        <f aca="false">L15*J15*MAX(0,N15-M15)</f>
        <v>0</v>
      </c>
      <c r="P15" s="24" t="n">
        <f aca="false">L15*J15*MAX(0,M15-N15)</f>
        <v>76.45</v>
      </c>
    </row>
    <row r="16" customFormat="false" ht="15" hidden="false" customHeight="false" outlineLevel="0" collapsed="false">
      <c r="A16" s="20" t="s">
        <v>243</v>
      </c>
      <c r="B16" s="14" t="s">
        <v>98</v>
      </c>
      <c r="C16" s="14" t="s">
        <v>66</v>
      </c>
      <c r="D16" s="14" t="s">
        <v>244</v>
      </c>
      <c r="E16" s="21" t="n">
        <v>5.5</v>
      </c>
      <c r="F16" s="23" t="n">
        <f aca="false">MAX(IFERROR(INDEX(Zones!$G$5:$G$19,MATCH(B16,Zones!$A$5:$A$19,0)),0),IFERROR(INDEX(Zones!$G$5:$G$19,MATCH(C16,Zones!$A$5:$A$19,0)),0))</f>
        <v>6</v>
      </c>
      <c r="G16" s="22" t="n">
        <f aca="false">E16*F16</f>
        <v>33</v>
      </c>
      <c r="H16" s="22" t="n">
        <f aca="false">SUMIF(Portes!$D$5:$D$33,A16,Portes!$H$5:$H$33)</f>
        <v>0</v>
      </c>
      <c r="I16" s="14" t="str">
        <f aca="false">IF(OR(INDEX(Hypothèses!$D$41:$D$61,MATCH(B16,Hypothèses!$A$41:$A$61,0))="Oui",INDEX(Hypothèses!$D$41:$D$61,MATCH(C16,Hypothèses!$A$41:$A$61,0))="Oui"),"Oui","Non")</f>
        <v>Oui</v>
      </c>
      <c r="J16" s="22" t="n">
        <f aca="false">MAX(0,G16-H16)</f>
        <v>33</v>
      </c>
      <c r="K16" s="18" t="n">
        <f aca="false">IF(I16="Oui",MAX(INDEX(Hypothèses!$C$41:$C$61,MATCH(B16,Hypothèses!$A$41:$A$61,0)),INDEX(Hypothèses!$C$41:$C$61,MATCH(C16,Hypothèses!$A$41:$A$61,0))),0)</f>
        <v>60</v>
      </c>
      <c r="L16" s="32" t="n">
        <f aca="false">IF(K16&gt;0,Hypothèses!$B$4/(K16/1000),0)</f>
        <v>0.366666666666667</v>
      </c>
      <c r="M16" s="18" t="n">
        <f aca="false">INDEX(Hypothèses!$B$41:$B$61,MATCH(B16,Hypothèses!$A$41:$A$61,0))</f>
        <v>30</v>
      </c>
      <c r="N16" s="18" t="n">
        <f aca="false">INDEX(Hypothèses!$B$41:$B$61,MATCH(C16,Hypothèses!$A$41:$A$61,0))</f>
        <v>40</v>
      </c>
      <c r="O16" s="24" t="n">
        <f aca="false">L16*J16*MAX(0,N16-M16)</f>
        <v>121</v>
      </c>
      <c r="P16" s="24" t="n">
        <f aca="false">L16*J16*MAX(0,M16-N16)</f>
        <v>0</v>
      </c>
    </row>
    <row r="17" customFormat="false" ht="15" hidden="false" customHeight="false" outlineLevel="0" collapsed="false">
      <c r="A17" s="20" t="s">
        <v>245</v>
      </c>
      <c r="B17" s="14" t="s">
        <v>98</v>
      </c>
      <c r="C17" s="14" t="s">
        <v>131</v>
      </c>
      <c r="D17" s="14" t="s">
        <v>246</v>
      </c>
      <c r="E17" s="21" t="n">
        <v>5.5</v>
      </c>
      <c r="F17" s="23" t="n">
        <f aca="false">MAX(IFERROR(INDEX(Zones!$G$5:$G$19,MATCH(B17,Zones!$A$5:$A$19,0)),0),IFERROR(INDEX(Zones!$G$5:$G$19,MATCH(C17,Zones!$A$5:$A$19,0)),0))</f>
        <v>6</v>
      </c>
      <c r="G17" s="22" t="n">
        <f aca="false">E17*F17</f>
        <v>33</v>
      </c>
      <c r="H17" s="22" t="n">
        <f aca="false">SUMIF(Portes!$D$5:$D$33,A17,Portes!$H$5:$H$33)</f>
        <v>0</v>
      </c>
      <c r="I17" s="14" t="str">
        <f aca="false">IF(OR(INDEX(Hypothèses!$D$41:$D$61,MATCH(B17,Hypothèses!$A$41:$A$61,0))="Oui",INDEX(Hypothèses!$D$41:$D$61,MATCH(C17,Hypothèses!$A$41:$A$61,0))="Oui"),"Oui","Non")</f>
        <v>Oui</v>
      </c>
      <c r="J17" s="22" t="n">
        <f aca="false">MAX(0,G17-H17)</f>
        <v>33</v>
      </c>
      <c r="K17" s="18" t="n">
        <f aca="false">IF(I17="Oui",MAX(INDEX(Hypothèses!$C$41:$C$61,MATCH(B17,Hypothèses!$A$41:$A$61,0)),INDEX(Hypothèses!$C$41:$C$61,MATCH(C17,Hypothèses!$A$41:$A$61,0))),0)</f>
        <v>60</v>
      </c>
      <c r="L17" s="32" t="n">
        <f aca="false">IF(K17&gt;0,Hypothèses!$B$4/(K17/1000),0)</f>
        <v>0.366666666666667</v>
      </c>
      <c r="M17" s="18" t="n">
        <f aca="false">INDEX(Hypothèses!$B$41:$B$61,MATCH(B17,Hypothèses!$A$41:$A$61,0))</f>
        <v>30</v>
      </c>
      <c r="N17" s="18" t="n">
        <f aca="false">INDEX(Hypothèses!$B$41:$B$61,MATCH(C17,Hypothèses!$A$41:$A$61,0))</f>
        <v>30</v>
      </c>
      <c r="O17" s="24" t="n">
        <f aca="false">L17*J17*MAX(0,N17-M17)</f>
        <v>0</v>
      </c>
      <c r="P17" s="24" t="n">
        <f aca="false">L17*J17*MAX(0,M17-N17)</f>
        <v>0</v>
      </c>
    </row>
    <row r="18" customFormat="false" ht="15" hidden="false" customHeight="false" outlineLevel="0" collapsed="false">
      <c r="A18" s="20" t="s">
        <v>247</v>
      </c>
      <c r="B18" s="14" t="s">
        <v>98</v>
      </c>
      <c r="C18" s="14" t="s">
        <v>111</v>
      </c>
      <c r="D18" s="14" t="s">
        <v>248</v>
      </c>
      <c r="E18" s="21" t="n">
        <v>7.04</v>
      </c>
      <c r="F18" s="23" t="n">
        <f aca="false">MAX(IFERROR(INDEX(Zones!$G$5:$G$19,MATCH(B18,Zones!$A$5:$A$19,0)),0),IFERROR(INDEX(Zones!$G$5:$G$19,MATCH(C18,Zones!$A$5:$A$19,0)),0))</f>
        <v>6</v>
      </c>
      <c r="G18" s="22" t="n">
        <f aca="false">E18*F18</f>
        <v>42.24</v>
      </c>
      <c r="H18" s="22" t="n">
        <f aca="false">SUMIF(Portes!$D$5:$D$33,A18,Portes!$H$5:$H$33)</f>
        <v>0</v>
      </c>
      <c r="I18" s="14" t="str">
        <f aca="false">IF(OR(INDEX(Hypothèses!$D$41:$D$61,MATCH(B18,Hypothèses!$A$41:$A$61,0))="Oui",INDEX(Hypothèses!$D$41:$D$61,MATCH(C18,Hypothèses!$A$41:$A$61,0))="Oui"),"Oui","Non")</f>
        <v>Oui</v>
      </c>
      <c r="J18" s="22" t="n">
        <f aca="false">MAX(0,G18-H18)</f>
        <v>42.24</v>
      </c>
      <c r="K18" s="18" t="n">
        <f aca="false">IF(I18="Oui",MAX(INDEX(Hypothèses!$C$41:$C$61,MATCH(B18,Hypothèses!$A$41:$A$61,0)),INDEX(Hypothèses!$C$41:$C$61,MATCH(C18,Hypothèses!$A$41:$A$61,0))),0)</f>
        <v>60</v>
      </c>
      <c r="L18" s="32" t="n">
        <f aca="false">IF(K18&gt;0,Hypothèses!$B$4/(K18/1000),0)</f>
        <v>0.366666666666667</v>
      </c>
      <c r="M18" s="18" t="n">
        <f aca="false">INDEX(Hypothèses!$B$41:$B$61,MATCH(B18,Hypothèses!$A$41:$A$61,0))</f>
        <v>30</v>
      </c>
      <c r="N18" s="18" t="n">
        <f aca="false">INDEX(Hypothèses!$B$41:$B$61,MATCH(C18,Hypothèses!$A$41:$A$61,0))</f>
        <v>35</v>
      </c>
      <c r="O18" s="24" t="n">
        <f aca="false">L18*J18*MAX(0,N18-M18)</f>
        <v>77.44</v>
      </c>
      <c r="P18" s="24" t="n">
        <f aca="false">L18*J18*MAX(0,M18-N18)</f>
        <v>0</v>
      </c>
    </row>
    <row r="19" customFormat="false" ht="15" hidden="false" customHeight="false" outlineLevel="0" collapsed="false">
      <c r="A19" s="20" t="s">
        <v>175</v>
      </c>
      <c r="B19" s="14" t="s">
        <v>101</v>
      </c>
      <c r="C19" s="14" t="s">
        <v>111</v>
      </c>
      <c r="D19" s="14" t="s">
        <v>249</v>
      </c>
      <c r="E19" s="21" t="n">
        <v>17.3</v>
      </c>
      <c r="F19" s="23" t="n">
        <f aca="false">MAX(IFERROR(INDEX(Zones!$G$5:$G$19,MATCH(B19,Zones!$A$5:$A$19,0)),0),IFERROR(INDEX(Zones!$G$5:$G$19,MATCH(C19,Zones!$A$5:$A$19,0)),0))</f>
        <v>6</v>
      </c>
      <c r="G19" s="22" t="n">
        <f aca="false">E19*F19</f>
        <v>103.8</v>
      </c>
      <c r="H19" s="22" t="n">
        <f aca="false">SUMIF(Portes!$D$5:$D$33,A19,Portes!$H$5:$H$33)</f>
        <v>3.74</v>
      </c>
      <c r="I19" s="14" t="str">
        <f aca="false">IF(OR(INDEX(Hypothèses!$D$41:$D$61,MATCH(B19,Hypothèses!$A$41:$A$61,0))="Oui",INDEX(Hypothèses!$D$41:$D$61,MATCH(C19,Hypothèses!$A$41:$A$61,0))="Oui"),"Oui","Non")</f>
        <v>Oui</v>
      </c>
      <c r="J19" s="22" t="n">
        <f aca="false">MAX(0,G19-H19)</f>
        <v>100.06</v>
      </c>
      <c r="K19" s="18" t="n">
        <f aca="false">IF(I19="Oui",MAX(INDEX(Hypothèses!$C$41:$C$61,MATCH(B19,Hypothèses!$A$41:$A$61,0)),INDEX(Hypothèses!$C$41:$C$61,MATCH(C19,Hypothèses!$A$41:$A$61,0))),0)</f>
        <v>60</v>
      </c>
      <c r="L19" s="32" t="n">
        <f aca="false">IF(K19&gt;0,Hypothèses!$B$4/(K19/1000),0)</f>
        <v>0.366666666666667</v>
      </c>
      <c r="M19" s="18" t="n">
        <f aca="false">INDEX(Hypothèses!$B$41:$B$61,MATCH(B19,Hypothèses!$A$41:$A$61,0))</f>
        <v>30</v>
      </c>
      <c r="N19" s="18" t="n">
        <f aca="false">INDEX(Hypothèses!$B$41:$B$61,MATCH(C19,Hypothèses!$A$41:$A$61,0))</f>
        <v>35</v>
      </c>
      <c r="O19" s="24" t="n">
        <f aca="false">L19*J19*MAX(0,N19-M19)</f>
        <v>183.443333333333</v>
      </c>
      <c r="P19" s="24" t="n">
        <f aca="false">L19*J19*MAX(0,M19-N19)</f>
        <v>0</v>
      </c>
    </row>
    <row r="20" customFormat="false" ht="15" hidden="false" customHeight="false" outlineLevel="0" collapsed="false">
      <c r="A20" s="20" t="s">
        <v>250</v>
      </c>
      <c r="B20" s="14" t="s">
        <v>101</v>
      </c>
      <c r="C20" s="14" t="s">
        <v>114</v>
      </c>
      <c r="D20" s="14" t="s">
        <v>251</v>
      </c>
      <c r="E20" s="21" t="n">
        <v>10.1</v>
      </c>
      <c r="F20" s="23" t="n">
        <f aca="false">MAX(IFERROR(INDEX(Zones!$G$5:$G$19,MATCH(B20,Zones!$A$5:$A$19,0)),0),IFERROR(INDEX(Zones!$G$5:$G$19,MATCH(C20,Zones!$A$5:$A$19,0)),0))</f>
        <v>6</v>
      </c>
      <c r="G20" s="22" t="n">
        <f aca="false">E20*F20</f>
        <v>60.6</v>
      </c>
      <c r="H20" s="22" t="n">
        <f aca="false">SUMIF(Portes!$D$5:$D$33,A20,Portes!$H$5:$H$33)</f>
        <v>0</v>
      </c>
      <c r="I20" s="14" t="str">
        <f aca="false">IF(OR(INDEX(Hypothèses!$D$41:$D$61,MATCH(B20,Hypothèses!$A$41:$A$61,0))="Oui",INDEX(Hypothèses!$D$41:$D$61,MATCH(C20,Hypothèses!$A$41:$A$61,0))="Oui"),"Oui","Non")</f>
        <v>Oui</v>
      </c>
      <c r="J20" s="22" t="n">
        <f aca="false">MAX(0,G20-H20)</f>
        <v>60.6</v>
      </c>
      <c r="K20" s="18" t="n">
        <f aca="false">IF(I20="Oui",MAX(INDEX(Hypothèses!$C$41:$C$61,MATCH(B20,Hypothèses!$A$41:$A$61,0)),INDEX(Hypothèses!$C$41:$C$61,MATCH(C20,Hypothèses!$A$41:$A$61,0))),0)</f>
        <v>80</v>
      </c>
      <c r="L20" s="32" t="n">
        <f aca="false">IF(K20&gt;0,Hypothèses!$B$4/(K20/1000),0)</f>
        <v>0.275</v>
      </c>
      <c r="M20" s="18" t="n">
        <f aca="false">INDEX(Hypothèses!$B$41:$B$61,MATCH(B20,Hypothèses!$A$41:$A$61,0))</f>
        <v>30</v>
      </c>
      <c r="N20" s="18" t="n">
        <f aca="false">INDEX(Hypothèses!$B$41:$B$61,MATCH(C20,Hypothèses!$A$41:$A$61,0))</f>
        <v>10</v>
      </c>
      <c r="O20" s="24" t="n">
        <f aca="false">L20*J20*MAX(0,N20-M20)</f>
        <v>0</v>
      </c>
      <c r="P20" s="24" t="n">
        <f aca="false">L20*J20*MAX(0,M20-N20)</f>
        <v>333.3</v>
      </c>
    </row>
    <row r="21" customFormat="false" ht="15" hidden="false" customHeight="false" outlineLevel="0" collapsed="false">
      <c r="A21" s="20" t="s">
        <v>252</v>
      </c>
      <c r="B21" s="14" t="s">
        <v>105</v>
      </c>
      <c r="C21" s="14" t="s">
        <v>114</v>
      </c>
      <c r="D21" s="14" t="s">
        <v>253</v>
      </c>
      <c r="E21" s="21" t="n">
        <v>3</v>
      </c>
      <c r="F21" s="23" t="n">
        <f aca="false">MAX(IFERROR(INDEX(Zones!$G$5:$G$19,MATCH(B21,Zones!$A$5:$A$19,0)),0),IFERROR(INDEX(Zones!$G$5:$G$19,MATCH(C21,Zones!$A$5:$A$19,0)),0))</f>
        <v>6</v>
      </c>
      <c r="G21" s="22" t="n">
        <f aca="false">E21*F21</f>
        <v>18</v>
      </c>
      <c r="H21" s="22" t="n">
        <f aca="false">SUMIF(Portes!$D$5:$D$33,A21,Portes!$H$5:$H$33)</f>
        <v>0</v>
      </c>
      <c r="I21" s="14" t="str">
        <f aca="false">IF(OR(INDEX(Hypothèses!$D$41:$D$61,MATCH(B21,Hypothèses!$A$41:$A$61,0))="Oui",INDEX(Hypothèses!$D$41:$D$61,MATCH(C21,Hypothèses!$A$41:$A$61,0))="Oui"),"Oui","Non")</f>
        <v>Oui</v>
      </c>
      <c r="J21" s="22" t="n">
        <f aca="false">MAX(0,G21-H21)</f>
        <v>18</v>
      </c>
      <c r="K21" s="18" t="n">
        <f aca="false">IF(I21="Oui",MAX(INDEX(Hypothèses!$C$41:$C$61,MATCH(B21,Hypothèses!$A$41:$A$61,0)),INDEX(Hypothèses!$C$41:$C$61,MATCH(C21,Hypothèses!$A$41:$A$61,0))),0)</f>
        <v>80</v>
      </c>
      <c r="L21" s="32" t="n">
        <f aca="false">IF(K21&gt;0,Hypothèses!$B$4/(K21/1000),0)</f>
        <v>0.275</v>
      </c>
      <c r="M21" s="18" t="n">
        <f aca="false">INDEX(Hypothèses!$B$41:$B$61,MATCH(B21,Hypothèses!$A$41:$A$61,0))</f>
        <v>30</v>
      </c>
      <c r="N21" s="18" t="n">
        <f aca="false">INDEX(Hypothèses!$B$41:$B$61,MATCH(C21,Hypothèses!$A$41:$A$61,0))</f>
        <v>10</v>
      </c>
      <c r="O21" s="24" t="n">
        <f aca="false">L21*J21*MAX(0,N21-M21)</f>
        <v>0</v>
      </c>
      <c r="P21" s="24" t="n">
        <f aca="false">L21*J21*MAX(0,M21-N21)</f>
        <v>99</v>
      </c>
    </row>
    <row r="22" customFormat="false" ht="15" hidden="false" customHeight="false" outlineLevel="0" collapsed="false">
      <c r="A22" s="20" t="s">
        <v>179</v>
      </c>
      <c r="B22" s="14" t="s">
        <v>111</v>
      </c>
      <c r="C22" s="14" t="s">
        <v>114</v>
      </c>
      <c r="D22" s="14" t="s">
        <v>254</v>
      </c>
      <c r="E22" s="21" t="n">
        <v>7.04</v>
      </c>
      <c r="F22" s="23" t="n">
        <f aca="false">MAX(IFERROR(INDEX(Zones!$G$5:$G$19,MATCH(B22,Zones!$A$5:$A$19,0)),0),IFERROR(INDEX(Zones!$G$5:$G$19,MATCH(C22,Zones!$A$5:$A$19,0)),0))</f>
        <v>6</v>
      </c>
      <c r="G22" s="22" t="n">
        <f aca="false">E22*F22</f>
        <v>42.24</v>
      </c>
      <c r="H22" s="22" t="n">
        <f aca="false">SUMIF(Portes!$D$5:$D$33,A22,Portes!$H$5:$H$33)</f>
        <v>4.48</v>
      </c>
      <c r="I22" s="14" t="str">
        <f aca="false">IF(OR(INDEX(Hypothèses!$D$41:$D$61,MATCH(B22,Hypothèses!$A$41:$A$61,0))="Oui",INDEX(Hypothèses!$D$41:$D$61,MATCH(C22,Hypothèses!$A$41:$A$61,0))="Oui"),"Oui","Non")</f>
        <v>Oui</v>
      </c>
      <c r="J22" s="22" t="n">
        <f aca="false">MAX(0,G22-H22)</f>
        <v>37.76</v>
      </c>
      <c r="K22" s="18" t="n">
        <f aca="false">IF(I22="Oui",MAX(INDEX(Hypothèses!$C$41:$C$61,MATCH(B22,Hypothèses!$A$41:$A$61,0)),INDEX(Hypothèses!$C$41:$C$61,MATCH(C22,Hypothèses!$A$41:$A$61,0))),0)</f>
        <v>80</v>
      </c>
      <c r="L22" s="32" t="n">
        <f aca="false">IF(K22&gt;0,Hypothèses!$B$4/(K22/1000),0)</f>
        <v>0.275</v>
      </c>
      <c r="M22" s="18" t="n">
        <f aca="false">INDEX(Hypothèses!$B$41:$B$61,MATCH(B22,Hypothèses!$A$41:$A$61,0))</f>
        <v>35</v>
      </c>
      <c r="N22" s="18" t="n">
        <f aca="false">INDEX(Hypothèses!$B$41:$B$61,MATCH(C22,Hypothèses!$A$41:$A$61,0))</f>
        <v>10</v>
      </c>
      <c r="O22" s="24" t="n">
        <f aca="false">L22*J22*MAX(0,N22-M22)</f>
        <v>0</v>
      </c>
      <c r="P22" s="24" t="n">
        <f aca="false">L22*J22*MAX(0,M22-N22)</f>
        <v>259.6</v>
      </c>
    </row>
    <row r="23" customFormat="false" ht="15" hidden="false" customHeight="false" outlineLevel="0" collapsed="false">
      <c r="A23" s="20" t="s">
        <v>167</v>
      </c>
      <c r="B23" s="14" t="s">
        <v>101</v>
      </c>
      <c r="C23" s="14" t="s">
        <v>105</v>
      </c>
      <c r="D23" s="14" t="s">
        <v>255</v>
      </c>
      <c r="E23" s="21" t="n">
        <v>11.6</v>
      </c>
      <c r="F23" s="23" t="n">
        <f aca="false">MAX(IFERROR(INDEX(Zones!$G$5:$G$19,MATCH(B23,Zones!$A$5:$A$19,0)),0),IFERROR(INDEX(Zones!$G$5:$G$19,MATCH(C23,Zones!$A$5:$A$19,0)),0))</f>
        <v>6</v>
      </c>
      <c r="G23" s="22" t="n">
        <f aca="false">E23*F23</f>
        <v>69.6</v>
      </c>
      <c r="H23" s="22" t="n">
        <f aca="false">SUMIF(Portes!$D$5:$D$33,A23,Portes!$H$5:$H$33)</f>
        <v>3.74</v>
      </c>
      <c r="I23" s="14" t="str">
        <f aca="false">IF(OR(INDEX(Hypothèses!$D$41:$D$61,MATCH(B23,Hypothèses!$A$41:$A$61,0))="Oui",INDEX(Hypothèses!$D$41:$D$61,MATCH(C23,Hypothèses!$A$41:$A$61,0))="Oui"),"Oui","Non")</f>
        <v>Oui</v>
      </c>
      <c r="J23" s="22" t="n">
        <f aca="false">MAX(0,G23-H23)</f>
        <v>65.86</v>
      </c>
      <c r="K23" s="18" t="n">
        <f aca="false">IF(I23="Oui",MAX(INDEX(Hypothèses!$C$41:$C$61,MATCH(B23,Hypothèses!$A$41:$A$61,0)),INDEX(Hypothèses!$C$41:$C$61,MATCH(C23,Hypothèses!$A$41:$A$61,0))),0)</f>
        <v>60</v>
      </c>
      <c r="L23" s="32" t="n">
        <f aca="false">IF(K23&gt;0,Hypothèses!$B$4/(K23/1000),0)</f>
        <v>0.366666666666667</v>
      </c>
      <c r="M23" s="18" t="n">
        <f aca="false">INDEX(Hypothèses!$B$41:$B$61,MATCH(B23,Hypothèses!$A$41:$A$61,0))</f>
        <v>30</v>
      </c>
      <c r="N23" s="18" t="n">
        <f aca="false">INDEX(Hypothèses!$B$41:$B$61,MATCH(C23,Hypothèses!$A$41:$A$61,0))</f>
        <v>30</v>
      </c>
      <c r="O23" s="24" t="n">
        <f aca="false">L23*J23*MAX(0,N23-M23)</f>
        <v>0</v>
      </c>
      <c r="P23" s="24" t="n">
        <f aca="false">L23*J23*MAX(0,M23-N23)</f>
        <v>0</v>
      </c>
    </row>
    <row r="24" customFormat="false" ht="15" hidden="false" customHeight="false" outlineLevel="0" collapsed="false">
      <c r="A24" s="20" t="s">
        <v>164</v>
      </c>
      <c r="B24" s="14" t="s">
        <v>105</v>
      </c>
      <c r="C24" s="14" t="s">
        <v>131</v>
      </c>
      <c r="D24" s="14" t="s">
        <v>256</v>
      </c>
      <c r="E24" s="21" t="n">
        <v>8.5</v>
      </c>
      <c r="F24" s="23" t="n">
        <f aca="false">MAX(IFERROR(INDEX(Zones!$G$5:$G$19,MATCH(B24,Zones!$A$5:$A$19,0)),0),IFERROR(INDEX(Zones!$G$5:$G$19,MATCH(C24,Zones!$A$5:$A$19,0)),0))</f>
        <v>6</v>
      </c>
      <c r="G24" s="22" t="n">
        <f aca="false">E24*F24</f>
        <v>51</v>
      </c>
      <c r="H24" s="22" t="n">
        <f aca="false">SUMIF(Portes!$D$5:$D$33,A24,Portes!$H$5:$H$33)</f>
        <v>4.2</v>
      </c>
      <c r="I24" s="14" t="str">
        <f aca="false">IF(OR(INDEX(Hypothèses!$D$41:$D$61,MATCH(B24,Hypothèses!$A$41:$A$61,0))="Oui",INDEX(Hypothèses!$D$41:$D$61,MATCH(C24,Hypothèses!$A$41:$A$61,0))="Oui"),"Oui","Non")</f>
        <v>Oui</v>
      </c>
      <c r="J24" s="22" t="n">
        <f aca="false">MAX(0,G24-H24)</f>
        <v>46.8</v>
      </c>
      <c r="K24" s="18" t="n">
        <f aca="false">IF(I24="Oui",MAX(INDEX(Hypothèses!$C$41:$C$61,MATCH(B24,Hypothèses!$A$41:$A$61,0)),INDEX(Hypothèses!$C$41:$C$61,MATCH(C24,Hypothèses!$A$41:$A$61,0))),0)</f>
        <v>60</v>
      </c>
      <c r="L24" s="32" t="n">
        <f aca="false">IF(K24&gt;0,Hypothèses!$B$4/(K24/1000),0)</f>
        <v>0.366666666666667</v>
      </c>
      <c r="M24" s="18" t="n">
        <f aca="false">INDEX(Hypothèses!$B$41:$B$61,MATCH(B24,Hypothèses!$A$41:$A$61,0))</f>
        <v>30</v>
      </c>
      <c r="N24" s="18" t="n">
        <f aca="false">INDEX(Hypothèses!$B$41:$B$61,MATCH(C24,Hypothèses!$A$41:$A$61,0))</f>
        <v>30</v>
      </c>
      <c r="O24" s="24" t="n">
        <f aca="false">L24*J24*MAX(0,N24-M24)</f>
        <v>0</v>
      </c>
      <c r="P24" s="24" t="n">
        <f aca="false">L24*J24*MAX(0,M24-N24)</f>
        <v>0</v>
      </c>
    </row>
    <row r="25" customFormat="false" ht="15" hidden="false" customHeight="false" outlineLevel="0" collapsed="false">
      <c r="A25" s="20" t="s">
        <v>173</v>
      </c>
      <c r="B25" s="14" t="s">
        <v>101</v>
      </c>
      <c r="C25" s="14" t="s">
        <v>108</v>
      </c>
      <c r="D25" s="14" t="s">
        <v>257</v>
      </c>
      <c r="E25" s="21" t="n">
        <v>8.4</v>
      </c>
      <c r="F25" s="23" t="n">
        <f aca="false">MAX(IFERROR(INDEX(Zones!$G$5:$G$19,MATCH(B25,Zones!$A$5:$A$19,0)),0),IFERROR(INDEX(Zones!$G$5:$G$19,MATCH(C25,Zones!$A$5:$A$19,0)),0))</f>
        <v>6</v>
      </c>
      <c r="G25" s="22" t="n">
        <f aca="false">E25*F25</f>
        <v>50.4</v>
      </c>
      <c r="H25" s="22" t="n">
        <f aca="false">SUMIF(Portes!$D$5:$D$33,A25,Portes!$H$5:$H$33)</f>
        <v>1.89</v>
      </c>
      <c r="I25" s="14" t="str">
        <f aca="false">IF(OR(INDEX(Hypothèses!$D$41:$D$61,MATCH(B25,Hypothèses!$A$41:$A$61,0))="Oui",INDEX(Hypothèses!$D$41:$D$61,MATCH(C25,Hypothèses!$A$41:$A$61,0))="Oui"),"Oui","Non")</f>
        <v>Oui</v>
      </c>
      <c r="J25" s="22" t="n">
        <f aca="false">MAX(0,G25-H25)</f>
        <v>48.51</v>
      </c>
      <c r="K25" s="18" t="n">
        <f aca="false">IF(I25="Oui",MAX(INDEX(Hypothèses!$C$41:$C$61,MATCH(B25,Hypothèses!$A$41:$A$61,0)),INDEX(Hypothèses!$C$41:$C$61,MATCH(C25,Hypothèses!$A$41:$A$61,0))),0)</f>
        <v>60</v>
      </c>
      <c r="L25" s="32" t="n">
        <f aca="false">IF(K25&gt;0,Hypothèses!$B$4/(K25/1000),0)</f>
        <v>0.366666666666667</v>
      </c>
      <c r="M25" s="18" t="n">
        <f aca="false">INDEX(Hypothèses!$B$41:$B$61,MATCH(B25,Hypothèses!$A$41:$A$61,0))</f>
        <v>30</v>
      </c>
      <c r="N25" s="18" t="n">
        <f aca="false">INDEX(Hypothèses!$B$41:$B$61,MATCH(C25,Hypothèses!$A$41:$A$61,0))</f>
        <v>30</v>
      </c>
      <c r="O25" s="24" t="n">
        <f aca="false">L25*J25*MAX(0,N25-M25)</f>
        <v>0</v>
      </c>
      <c r="P25" s="24" t="n">
        <f aca="false">L25*J25*MAX(0,M25-N25)</f>
        <v>0</v>
      </c>
    </row>
    <row r="26" customFormat="false" ht="15" hidden="false" customHeight="false" outlineLevel="0" collapsed="false">
      <c r="A26" s="20" t="s">
        <v>171</v>
      </c>
      <c r="B26" s="14" t="s">
        <v>108</v>
      </c>
      <c r="C26" s="14" t="s">
        <v>131</v>
      </c>
      <c r="D26" s="14" t="s">
        <v>258</v>
      </c>
      <c r="E26" s="21" t="n">
        <v>3.5</v>
      </c>
      <c r="F26" s="23" t="n">
        <f aca="false">MAX(IFERROR(INDEX(Zones!$G$5:$G$19,MATCH(B26,Zones!$A$5:$A$19,0)),0),IFERROR(INDEX(Zones!$G$5:$G$19,MATCH(C26,Zones!$A$5:$A$19,0)),0))</f>
        <v>6</v>
      </c>
      <c r="G26" s="22" t="n">
        <f aca="false">E26*F26</f>
        <v>21</v>
      </c>
      <c r="H26" s="22" t="n">
        <f aca="false">SUMIF(Portes!$D$5:$D$33,A26,Portes!$H$5:$H$33)</f>
        <v>1.89</v>
      </c>
      <c r="I26" s="14" t="str">
        <f aca="false">IF(OR(INDEX(Hypothèses!$D$41:$D$61,MATCH(B26,Hypothèses!$A$41:$A$61,0))="Oui",INDEX(Hypothèses!$D$41:$D$61,MATCH(C26,Hypothèses!$A$41:$A$61,0))="Oui"),"Oui","Non")</f>
        <v>Oui</v>
      </c>
      <c r="J26" s="22" t="n">
        <f aca="false">MAX(0,G26-H26)</f>
        <v>19.11</v>
      </c>
      <c r="K26" s="18" t="n">
        <f aca="false">IF(I26="Oui",MAX(INDEX(Hypothèses!$C$41:$C$61,MATCH(B26,Hypothèses!$A$41:$A$61,0)),INDEX(Hypothèses!$C$41:$C$61,MATCH(C26,Hypothèses!$A$41:$A$61,0))),0)</f>
        <v>60</v>
      </c>
      <c r="L26" s="32" t="n">
        <f aca="false">IF(K26&gt;0,Hypothèses!$B$4/(K26/1000),0)</f>
        <v>0.366666666666667</v>
      </c>
      <c r="M26" s="18" t="n">
        <f aca="false">INDEX(Hypothèses!$B$41:$B$61,MATCH(B26,Hypothèses!$A$41:$A$61,0))</f>
        <v>30</v>
      </c>
      <c r="N26" s="18" t="n">
        <f aca="false">INDEX(Hypothèses!$B$41:$B$61,MATCH(C26,Hypothèses!$A$41:$A$61,0))</f>
        <v>30</v>
      </c>
      <c r="O26" s="24" t="n">
        <f aca="false">L26*J26*MAX(0,N26-M26)</f>
        <v>0</v>
      </c>
      <c r="P26" s="24" t="n">
        <f aca="false">L26*J26*MAX(0,M26-N26)</f>
        <v>0</v>
      </c>
    </row>
    <row r="27" customFormat="false" ht="15" hidden="false" customHeight="false" outlineLevel="0" collapsed="false">
      <c r="A27" s="20" t="s">
        <v>259</v>
      </c>
      <c r="B27" s="14" t="s">
        <v>101</v>
      </c>
      <c r="C27" s="14" t="s">
        <v>131</v>
      </c>
      <c r="D27" s="14" t="s">
        <v>260</v>
      </c>
      <c r="E27" s="21" t="n">
        <v>5</v>
      </c>
      <c r="F27" s="23" t="n">
        <f aca="false">MAX(IFERROR(INDEX(Zones!$G$5:$G$19,MATCH(B27,Zones!$A$5:$A$19,0)),0),IFERROR(INDEX(Zones!$G$5:$G$19,MATCH(C27,Zones!$A$5:$A$19,0)),0))</f>
        <v>6</v>
      </c>
      <c r="G27" s="22" t="n">
        <f aca="false">E27*F27</f>
        <v>30</v>
      </c>
      <c r="H27" s="22" t="n">
        <f aca="false">SUMIF(Portes!$D$5:$D$33,A27,Portes!$H$5:$H$33)</f>
        <v>0</v>
      </c>
      <c r="I27" s="14" t="str">
        <f aca="false">IF(OR(INDEX(Hypothèses!$D$41:$D$61,MATCH(B27,Hypothèses!$A$41:$A$61,0))="Oui",INDEX(Hypothèses!$D$41:$D$61,MATCH(C27,Hypothèses!$A$41:$A$61,0))="Oui"),"Oui","Non")</f>
        <v>Oui</v>
      </c>
      <c r="J27" s="22" t="n">
        <f aca="false">MAX(0,G27-H27)</f>
        <v>30</v>
      </c>
      <c r="K27" s="18" t="n">
        <f aca="false">IF(I27="Oui",MAX(INDEX(Hypothèses!$C$41:$C$61,MATCH(B27,Hypothèses!$A$41:$A$61,0)),INDEX(Hypothèses!$C$41:$C$61,MATCH(C27,Hypothèses!$A$41:$A$61,0))),0)</f>
        <v>60</v>
      </c>
      <c r="L27" s="32" t="n">
        <f aca="false">IF(K27&gt;0,Hypothèses!$B$4/(K27/1000),0)</f>
        <v>0.366666666666667</v>
      </c>
      <c r="M27" s="18" t="n">
        <f aca="false">INDEX(Hypothèses!$B$41:$B$61,MATCH(B27,Hypothèses!$A$41:$A$61,0))</f>
        <v>30</v>
      </c>
      <c r="N27" s="18" t="n">
        <f aca="false">INDEX(Hypothèses!$B$41:$B$61,MATCH(C27,Hypothèses!$A$41:$A$61,0))</f>
        <v>30</v>
      </c>
      <c r="O27" s="24" t="n">
        <f aca="false">L27*J27*MAX(0,N27-M27)</f>
        <v>0</v>
      </c>
      <c r="P27" s="24" t="n">
        <f aca="false">L27*J27*MAX(0,M27-N27)</f>
        <v>0</v>
      </c>
    </row>
    <row r="28" customFormat="false" ht="15" hidden="false" customHeight="false" outlineLevel="0" collapsed="false">
      <c r="A28" s="20" t="s">
        <v>261</v>
      </c>
      <c r="B28" s="14" t="s">
        <v>111</v>
      </c>
      <c r="C28" s="14" t="s">
        <v>66</v>
      </c>
      <c r="D28" s="14" t="s">
        <v>262</v>
      </c>
      <c r="E28" s="21" t="n">
        <v>17.3</v>
      </c>
      <c r="F28" s="23" t="n">
        <f aca="false">MAX(IFERROR(INDEX(Zones!$G$5:$G$19,MATCH(B28,Zones!$A$5:$A$19,0)),0),IFERROR(INDEX(Zones!$G$5:$G$19,MATCH(C28,Zones!$A$5:$A$19,0)),0))</f>
        <v>6</v>
      </c>
      <c r="G28" s="22" t="n">
        <f aca="false">E28*F28</f>
        <v>103.8</v>
      </c>
      <c r="H28" s="22" t="n">
        <f aca="false">SUMIF(Portes!$D$5:$D$33,A28,Portes!$H$5:$H$33)</f>
        <v>0</v>
      </c>
      <c r="I28" s="14" t="str">
        <f aca="false">IF(OR(INDEX(Hypothèses!$D$41:$D$61,MATCH(B28,Hypothèses!$A$41:$A$61,0))="Oui",INDEX(Hypothèses!$D$41:$D$61,MATCH(C28,Hypothèses!$A$41:$A$61,0))="Oui"),"Oui","Non")</f>
        <v>Oui</v>
      </c>
      <c r="J28" s="22" t="n">
        <f aca="false">MAX(0,G28-H28)</f>
        <v>103.8</v>
      </c>
      <c r="K28" s="18" t="n">
        <f aca="false">IF(I28="Oui",MAX(INDEX(Hypothèses!$C$41:$C$61,MATCH(B28,Hypothèses!$A$41:$A$61,0)),INDEX(Hypothèses!$C$41:$C$61,MATCH(C28,Hypothèses!$A$41:$A$61,0))),0)</f>
        <v>60</v>
      </c>
      <c r="L28" s="32" t="n">
        <f aca="false">IF(K28&gt;0,Hypothèses!$B$4/(K28/1000),0)</f>
        <v>0.366666666666667</v>
      </c>
      <c r="M28" s="18" t="n">
        <f aca="false">INDEX(Hypothèses!$B$41:$B$61,MATCH(B28,Hypothèses!$A$41:$A$61,0))</f>
        <v>35</v>
      </c>
      <c r="N28" s="18" t="n">
        <f aca="false">INDEX(Hypothèses!$B$41:$B$61,MATCH(C28,Hypothèses!$A$41:$A$61,0))</f>
        <v>40</v>
      </c>
      <c r="O28" s="24" t="n">
        <f aca="false">L28*J28*MAX(0,N28-M28)</f>
        <v>190.3</v>
      </c>
      <c r="P28" s="24" t="n">
        <f aca="false">L28*J28*MAX(0,M28-N28)</f>
        <v>0</v>
      </c>
    </row>
    <row r="29" customFormat="false" ht="15" hidden="false" customHeight="false" outlineLevel="0" collapsed="false">
      <c r="A29" s="20" t="s">
        <v>263</v>
      </c>
      <c r="B29" s="14" t="s">
        <v>114</v>
      </c>
      <c r="C29" s="14" t="s">
        <v>66</v>
      </c>
      <c r="D29" s="14" t="s">
        <v>264</v>
      </c>
      <c r="E29" s="21" t="n">
        <v>10.6</v>
      </c>
      <c r="F29" s="23" t="n">
        <f aca="false">MAX(IFERROR(INDEX(Zones!$G$5:$G$19,MATCH(B29,Zones!$A$5:$A$19,0)),0),IFERROR(INDEX(Zones!$G$5:$G$19,MATCH(C29,Zones!$A$5:$A$19,0)),0))</f>
        <v>6</v>
      </c>
      <c r="G29" s="22" t="n">
        <f aca="false">E29*F29</f>
        <v>63.6</v>
      </c>
      <c r="H29" s="22" t="n">
        <f aca="false">SUMIF(Portes!$D$5:$D$33,A29,Portes!$H$5:$H$33)</f>
        <v>0</v>
      </c>
      <c r="I29" s="14" t="str">
        <f aca="false">IF(OR(INDEX(Hypothèses!$D$41:$D$61,MATCH(B29,Hypothèses!$A$41:$A$61,0))="Oui",INDEX(Hypothèses!$D$41:$D$61,MATCH(C29,Hypothèses!$A$41:$A$61,0))="Oui"),"Oui","Non")</f>
        <v>Oui</v>
      </c>
      <c r="J29" s="22" t="n">
        <f aca="false">MAX(0,G29-H29)</f>
        <v>63.6</v>
      </c>
      <c r="K29" s="18" t="n">
        <f aca="false">IF(I29="Oui",MAX(INDEX(Hypothèses!$C$41:$C$61,MATCH(B29,Hypothèses!$A$41:$A$61,0)),INDEX(Hypothèses!$C$41:$C$61,MATCH(C29,Hypothèses!$A$41:$A$61,0))),0)</f>
        <v>80</v>
      </c>
      <c r="L29" s="32" t="n">
        <f aca="false">IF(K29&gt;0,Hypothèses!$B$4/(K29/1000),0)</f>
        <v>0.275</v>
      </c>
      <c r="M29" s="18" t="n">
        <f aca="false">INDEX(Hypothèses!$B$41:$B$61,MATCH(B29,Hypothèses!$A$41:$A$61,0))</f>
        <v>10</v>
      </c>
      <c r="N29" s="18" t="n">
        <f aca="false">INDEX(Hypothèses!$B$41:$B$61,MATCH(C29,Hypothèses!$A$41:$A$61,0))</f>
        <v>40</v>
      </c>
      <c r="O29" s="24" t="n">
        <f aca="false">L29*J29*MAX(0,N29-M29)</f>
        <v>524.7</v>
      </c>
      <c r="P29" s="24" t="n">
        <f aca="false">L29*J29*MAX(0,M29-N29)</f>
        <v>0</v>
      </c>
    </row>
    <row r="30" customFormat="false" ht="15" hidden="false" customHeight="false" outlineLevel="0" collapsed="false">
      <c r="A30" s="20" t="s">
        <v>265</v>
      </c>
      <c r="B30" s="14" t="s">
        <v>114</v>
      </c>
      <c r="C30" s="14" t="s">
        <v>131</v>
      </c>
      <c r="D30" s="14" t="s">
        <v>266</v>
      </c>
      <c r="E30" s="21" t="n">
        <v>4.7</v>
      </c>
      <c r="F30" s="23" t="n">
        <f aca="false">MAX(IFERROR(INDEX(Zones!$G$5:$G$19,MATCH(B30,Zones!$A$5:$A$19,0)),0),IFERROR(INDEX(Zones!$G$5:$G$19,MATCH(C30,Zones!$A$5:$A$19,0)),0))</f>
        <v>6</v>
      </c>
      <c r="G30" s="22" t="n">
        <f aca="false">E30*F30</f>
        <v>28.2</v>
      </c>
      <c r="H30" s="22" t="n">
        <f aca="false">SUMIF(Portes!$D$5:$D$33,A30,Portes!$H$5:$H$33)</f>
        <v>0</v>
      </c>
      <c r="I30" s="14" t="str">
        <f aca="false">IF(OR(INDEX(Hypothèses!$D$41:$D$61,MATCH(B30,Hypothèses!$A$41:$A$61,0))="Oui",INDEX(Hypothèses!$D$41:$D$61,MATCH(C30,Hypothèses!$A$41:$A$61,0))="Oui"),"Oui","Non")</f>
        <v>Oui</v>
      </c>
      <c r="J30" s="22" t="n">
        <f aca="false">MAX(0,G30-H30)</f>
        <v>28.2</v>
      </c>
      <c r="K30" s="18" t="n">
        <f aca="false">IF(I30="Oui",MAX(INDEX(Hypothèses!$C$41:$C$61,MATCH(B30,Hypothèses!$A$41:$A$61,0)),INDEX(Hypothèses!$C$41:$C$61,MATCH(C30,Hypothèses!$A$41:$A$61,0))),0)</f>
        <v>80</v>
      </c>
      <c r="L30" s="32" t="n">
        <f aca="false">IF(K30&gt;0,Hypothèses!$B$4/(K30/1000),0)</f>
        <v>0.275</v>
      </c>
      <c r="M30" s="18" t="n">
        <f aca="false">INDEX(Hypothèses!$B$41:$B$61,MATCH(B30,Hypothèses!$A$41:$A$61,0))</f>
        <v>10</v>
      </c>
      <c r="N30" s="18" t="n">
        <f aca="false">INDEX(Hypothèses!$B$41:$B$61,MATCH(C30,Hypothèses!$A$41:$A$61,0))</f>
        <v>30</v>
      </c>
      <c r="O30" s="24" t="n">
        <f aca="false">L30*J30*MAX(0,N30-M30)</f>
        <v>155.1</v>
      </c>
      <c r="P30" s="24" t="n">
        <f aca="false">L30*J30*MAX(0,M30-N30)</f>
        <v>0</v>
      </c>
    </row>
    <row r="31" customFormat="false" ht="15" hidden="false" customHeight="false" outlineLevel="0" collapsed="false">
      <c r="A31" s="20" t="s">
        <v>267</v>
      </c>
      <c r="B31" s="14" t="s">
        <v>114</v>
      </c>
      <c r="C31" s="14" t="s">
        <v>131</v>
      </c>
      <c r="D31" s="14" t="s">
        <v>268</v>
      </c>
      <c r="E31" s="21" t="n">
        <v>6.33</v>
      </c>
      <c r="F31" s="23" t="n">
        <f aca="false">MAX(IFERROR(INDEX(Zones!$G$5:$G$19,MATCH(B31,Zones!$A$5:$A$19,0)),0),IFERROR(INDEX(Zones!$G$5:$G$19,MATCH(C31,Zones!$A$5:$A$19,0)),0))</f>
        <v>6</v>
      </c>
      <c r="G31" s="22" t="n">
        <f aca="false">E31*F31</f>
        <v>37.98</v>
      </c>
      <c r="H31" s="22" t="n">
        <f aca="false">SUMIF(Portes!$D$5:$D$33,A31,Portes!$H$5:$H$33)</f>
        <v>0</v>
      </c>
      <c r="I31" s="14" t="str">
        <f aca="false">IF(OR(INDEX(Hypothèses!$D$41:$D$61,MATCH(B31,Hypothèses!$A$41:$A$61,0))="Oui",INDEX(Hypothèses!$D$41:$D$61,MATCH(C31,Hypothèses!$A$41:$A$61,0))="Oui"),"Oui","Non")</f>
        <v>Oui</v>
      </c>
      <c r="J31" s="22" t="n">
        <f aca="false">MAX(0,G31-H31)</f>
        <v>37.98</v>
      </c>
      <c r="K31" s="18" t="n">
        <f aca="false">IF(I31="Oui",MAX(INDEX(Hypothèses!$C$41:$C$61,MATCH(B31,Hypothèses!$A$41:$A$61,0)),INDEX(Hypothèses!$C$41:$C$61,MATCH(C31,Hypothèses!$A$41:$A$61,0))),0)</f>
        <v>80</v>
      </c>
      <c r="L31" s="32" t="n">
        <f aca="false">IF(K31&gt;0,Hypothèses!$B$4/(K31/1000),0)</f>
        <v>0.275</v>
      </c>
      <c r="M31" s="18" t="n">
        <f aca="false">INDEX(Hypothèses!$B$41:$B$61,MATCH(B31,Hypothèses!$A$41:$A$61,0))</f>
        <v>10</v>
      </c>
      <c r="N31" s="18" t="n">
        <f aca="false">INDEX(Hypothèses!$B$41:$B$61,MATCH(C31,Hypothèses!$A$41:$A$61,0))</f>
        <v>30</v>
      </c>
      <c r="O31" s="24" t="n">
        <f aca="false">L31*J31*MAX(0,N31-M31)</f>
        <v>208.89</v>
      </c>
      <c r="P31" s="24" t="n">
        <f aca="false">L31*J31*MAX(0,M31-N31)</f>
        <v>0</v>
      </c>
    </row>
    <row r="32" customFormat="false" ht="15" hidden="false" customHeight="false" outlineLevel="0" collapsed="false">
      <c r="A32" s="20" t="s">
        <v>269</v>
      </c>
      <c r="B32" s="14" t="s">
        <v>72</v>
      </c>
      <c r="C32" s="14" t="s">
        <v>114</v>
      </c>
      <c r="D32" s="14" t="s">
        <v>270</v>
      </c>
      <c r="E32" s="21" t="n">
        <v>3.93</v>
      </c>
      <c r="F32" s="23" t="n">
        <f aca="false">MAX(IFERROR(INDEX(Zones!$G$5:$G$19,MATCH(B32,Zones!$A$5:$A$19,0)),0),IFERROR(INDEX(Zones!$G$5:$G$19,MATCH(C32,Zones!$A$5:$A$19,0)),0))</f>
        <v>6</v>
      </c>
      <c r="G32" s="22" t="n">
        <f aca="false">E32*F32</f>
        <v>23.58</v>
      </c>
      <c r="H32" s="22" t="n">
        <f aca="false">SUMIF(Portes!$D$5:$D$33,A32,Portes!$H$5:$H$33)</f>
        <v>0</v>
      </c>
      <c r="I32" s="14" t="str">
        <f aca="false">IF(OR(INDEX(Hypothèses!$D$41:$D$61,MATCH(B32,Hypothèses!$A$41:$A$61,0))="Oui",INDEX(Hypothèses!$D$41:$D$61,MATCH(C32,Hypothèses!$A$41:$A$61,0))="Oui"),"Oui","Non")</f>
        <v>Oui</v>
      </c>
      <c r="J32" s="22" t="n">
        <f aca="false">MAX(0,G32-H32)</f>
        <v>23.58</v>
      </c>
      <c r="K32" s="18" t="n">
        <f aca="false">IF(I32="Oui",MAX(INDEX(Hypothèses!$C$41:$C$61,MATCH(B32,Hypothèses!$A$41:$A$61,0)),INDEX(Hypothèses!$C$41:$C$61,MATCH(C32,Hypothèses!$A$41:$A$61,0))),0)</f>
        <v>80</v>
      </c>
      <c r="L32" s="32" t="n">
        <f aca="false">IF(K32&gt;0,Hypothèses!$B$4/(K32/1000),0)</f>
        <v>0.275</v>
      </c>
      <c r="M32" s="18" t="n">
        <f aca="false">INDEX(Hypothèses!$B$41:$B$61,MATCH(B32,Hypothèses!$A$41:$A$61,0))</f>
        <v>30</v>
      </c>
      <c r="N32" s="18" t="n">
        <f aca="false">INDEX(Hypothèses!$B$41:$B$61,MATCH(C32,Hypothèses!$A$41:$A$61,0))</f>
        <v>10</v>
      </c>
      <c r="O32" s="24" t="n">
        <f aca="false">L32*J32*MAX(0,N32-M32)</f>
        <v>0</v>
      </c>
      <c r="P32" s="24" t="n">
        <f aca="false">L32*J32*MAX(0,M32-N32)</f>
        <v>129.69</v>
      </c>
    </row>
    <row r="33" customFormat="false" ht="15" hidden="false" customHeight="false" outlineLevel="0" collapsed="false">
      <c r="A33" s="20" t="s">
        <v>271</v>
      </c>
      <c r="B33" s="14" t="s">
        <v>72</v>
      </c>
      <c r="C33" s="14" t="s">
        <v>114</v>
      </c>
      <c r="D33" s="14" t="s">
        <v>272</v>
      </c>
      <c r="E33" s="21" t="n">
        <v>2.2</v>
      </c>
      <c r="F33" s="23" t="n">
        <f aca="false">MAX(IFERROR(INDEX(Zones!$G$5:$G$19,MATCH(B33,Zones!$A$5:$A$19,0)),0),IFERROR(INDEX(Zones!$G$5:$G$19,MATCH(C33,Zones!$A$5:$A$19,0)),0))</f>
        <v>6</v>
      </c>
      <c r="G33" s="22" t="n">
        <f aca="false">E33*F33</f>
        <v>13.2</v>
      </c>
      <c r="H33" s="22" t="n">
        <f aca="false">SUMIF(Portes!$D$5:$D$33,A33,Portes!$H$5:$H$33)</f>
        <v>0</v>
      </c>
      <c r="I33" s="14" t="str">
        <f aca="false">IF(OR(INDEX(Hypothèses!$D$41:$D$61,MATCH(B33,Hypothèses!$A$41:$A$61,0))="Oui",INDEX(Hypothèses!$D$41:$D$61,MATCH(C33,Hypothèses!$A$41:$A$61,0))="Oui"),"Oui","Non")</f>
        <v>Oui</v>
      </c>
      <c r="J33" s="22" t="n">
        <f aca="false">MAX(0,G33-H33)</f>
        <v>13.2</v>
      </c>
      <c r="K33" s="18" t="n">
        <f aca="false">IF(I33="Oui",MAX(INDEX(Hypothèses!$C$41:$C$61,MATCH(B33,Hypothèses!$A$41:$A$61,0)),INDEX(Hypothèses!$C$41:$C$61,MATCH(C33,Hypothèses!$A$41:$A$61,0))),0)</f>
        <v>80</v>
      </c>
      <c r="L33" s="32" t="n">
        <f aca="false">IF(K33&gt;0,Hypothèses!$B$4/(K33/1000),0)</f>
        <v>0.275</v>
      </c>
      <c r="M33" s="18" t="n">
        <f aca="false">INDEX(Hypothèses!$B$41:$B$61,MATCH(B33,Hypothèses!$A$41:$A$61,0))</f>
        <v>30</v>
      </c>
      <c r="N33" s="18" t="n">
        <f aca="false">INDEX(Hypothèses!$B$41:$B$61,MATCH(C33,Hypothèses!$A$41:$A$61,0))</f>
        <v>10</v>
      </c>
      <c r="O33" s="24" t="n">
        <f aca="false">L33*J33*MAX(0,N33-M33)</f>
        <v>0</v>
      </c>
      <c r="P33" s="24" t="n">
        <f aca="false">L33*J33*MAX(0,M33-N33)</f>
        <v>72.6</v>
      </c>
    </row>
    <row r="34" customFormat="false" ht="15" hidden="false" customHeight="false" outlineLevel="0" collapsed="false">
      <c r="A34" s="20" t="s">
        <v>186</v>
      </c>
      <c r="B34" s="14" t="s">
        <v>114</v>
      </c>
      <c r="C34" s="14" t="s">
        <v>120</v>
      </c>
      <c r="D34" s="14" t="s">
        <v>273</v>
      </c>
      <c r="E34" s="21" t="n">
        <v>9.985</v>
      </c>
      <c r="F34" s="23" t="n">
        <f aca="false">MAX(IFERROR(INDEX(Zones!$G$5:$G$19,MATCH(B34,Zones!$A$5:$A$19,0)),0),IFERROR(INDEX(Zones!$G$5:$G$19,MATCH(C34,Zones!$A$5:$A$19,0)),0))</f>
        <v>6</v>
      </c>
      <c r="G34" s="22" t="n">
        <f aca="false">E34*F34</f>
        <v>59.91</v>
      </c>
      <c r="H34" s="22" t="n">
        <f aca="false">SUMIF(Portes!$D$5:$D$33,A34,Portes!$H$5:$H$33)</f>
        <v>2.94</v>
      </c>
      <c r="I34" s="14" t="str">
        <f aca="false">IF(OR(INDEX(Hypothèses!$D$41:$D$61,MATCH(B34,Hypothèses!$A$41:$A$61,0))="Oui",INDEX(Hypothèses!$D$41:$D$61,MATCH(C34,Hypothèses!$A$41:$A$61,0))="Oui"),"Oui","Non")</f>
        <v>Oui</v>
      </c>
      <c r="J34" s="22" t="n">
        <f aca="false">MAX(0,G34-H34)</f>
        <v>56.97</v>
      </c>
      <c r="K34" s="18" t="n">
        <f aca="false">IF(I34="Oui",MAX(INDEX(Hypothèses!$C$41:$C$61,MATCH(B34,Hypothèses!$A$41:$A$61,0)),INDEX(Hypothèses!$C$41:$C$61,MATCH(C34,Hypothèses!$A$41:$A$61,0))),0)</f>
        <v>80</v>
      </c>
      <c r="L34" s="32" t="n">
        <f aca="false">IF(K34&gt;0,Hypothèses!$B$4/(K34/1000),0)</f>
        <v>0.275</v>
      </c>
      <c r="M34" s="18" t="n">
        <f aca="false">INDEX(Hypothèses!$B$41:$B$61,MATCH(B34,Hypothèses!$A$41:$A$61,0))</f>
        <v>10</v>
      </c>
      <c r="N34" s="18" t="n">
        <f aca="false">INDEX(Hypothèses!$B$41:$B$61,MATCH(C34,Hypothèses!$A$41:$A$61,0))</f>
        <v>30</v>
      </c>
      <c r="O34" s="24" t="n">
        <f aca="false">L34*J34*MAX(0,N34-M34)</f>
        <v>313.335</v>
      </c>
      <c r="P34" s="24" t="n">
        <f aca="false">L34*J34*MAX(0,M34-N34)</f>
        <v>0</v>
      </c>
    </row>
    <row r="35" customFormat="false" ht="15" hidden="false" customHeight="false" outlineLevel="0" collapsed="false">
      <c r="A35" s="20" t="s">
        <v>184</v>
      </c>
      <c r="B35" s="14" t="s">
        <v>114</v>
      </c>
      <c r="C35" s="14" t="s">
        <v>117</v>
      </c>
      <c r="D35" s="14" t="s">
        <v>274</v>
      </c>
      <c r="E35" s="21" t="n">
        <v>6</v>
      </c>
      <c r="F35" s="23" t="n">
        <f aca="false">MAX(IFERROR(INDEX(Zones!$G$5:$G$19,MATCH(B35,Zones!$A$5:$A$19,0)),0),IFERROR(INDEX(Zones!$G$5:$G$19,MATCH(C35,Zones!$A$5:$A$19,0)),0))</f>
        <v>6</v>
      </c>
      <c r="G35" s="22" t="n">
        <f aca="false">E35*F35</f>
        <v>36</v>
      </c>
      <c r="H35" s="22" t="n">
        <f aca="false">SUMIF(Portes!$D$5:$D$33,A35,Portes!$H$5:$H$33)</f>
        <v>1.89</v>
      </c>
      <c r="I35" s="14" t="str">
        <f aca="false">IF(OR(INDEX(Hypothèses!$D$41:$D$61,MATCH(B35,Hypothèses!$A$41:$A$61,0))="Oui",INDEX(Hypothèses!$D$41:$D$61,MATCH(C35,Hypothèses!$A$41:$A$61,0))="Oui"),"Oui","Non")</f>
        <v>Oui</v>
      </c>
      <c r="J35" s="22" t="n">
        <f aca="false">MAX(0,G35-H35)</f>
        <v>34.11</v>
      </c>
      <c r="K35" s="18" t="n">
        <f aca="false">IF(I35="Oui",MAX(INDEX(Hypothèses!$C$41:$C$61,MATCH(B35,Hypothèses!$A$41:$A$61,0)),INDEX(Hypothèses!$C$41:$C$61,MATCH(C35,Hypothèses!$A$41:$A$61,0))),0)</f>
        <v>80</v>
      </c>
      <c r="L35" s="32" t="n">
        <f aca="false">IF(K35&gt;0,Hypothèses!$B$4/(K35/1000),0)</f>
        <v>0.275</v>
      </c>
      <c r="M35" s="18" t="n">
        <f aca="false">INDEX(Hypothèses!$B$41:$B$61,MATCH(B35,Hypothèses!$A$41:$A$61,0))</f>
        <v>10</v>
      </c>
      <c r="N35" s="18" t="n">
        <f aca="false">INDEX(Hypothèses!$B$41:$B$61,MATCH(C35,Hypothèses!$A$41:$A$61,0))</f>
        <v>20</v>
      </c>
      <c r="O35" s="24" t="n">
        <f aca="false">L35*J35*MAX(0,N35-M35)</f>
        <v>93.8025</v>
      </c>
      <c r="P35" s="24" t="n">
        <f aca="false">L35*J35*MAX(0,M35-N35)</f>
        <v>0</v>
      </c>
    </row>
    <row r="36" customFormat="false" ht="15" hidden="false" customHeight="false" outlineLevel="0" collapsed="false">
      <c r="A36" s="20" t="s">
        <v>182</v>
      </c>
      <c r="B36" s="14" t="s">
        <v>117</v>
      </c>
      <c r="C36" s="14" t="s">
        <v>131</v>
      </c>
      <c r="D36" s="14" t="s">
        <v>275</v>
      </c>
      <c r="E36" s="21" t="n">
        <v>3.6</v>
      </c>
      <c r="F36" s="23" t="n">
        <f aca="false">MAX(IFERROR(INDEX(Zones!$G$5:$G$19,MATCH(B36,Zones!$A$5:$A$19,0)),0),IFERROR(INDEX(Zones!$G$5:$G$19,MATCH(C36,Zones!$A$5:$A$19,0)),0))</f>
        <v>6</v>
      </c>
      <c r="G36" s="22" t="n">
        <f aca="false">E36*F36</f>
        <v>21.6</v>
      </c>
      <c r="H36" s="22" t="n">
        <f aca="false">SUMIF(Portes!$D$5:$D$33,A36,Portes!$H$5:$H$33)</f>
        <v>1.89</v>
      </c>
      <c r="I36" s="14" t="str">
        <f aca="false">IF(OR(INDEX(Hypothèses!$D$41:$D$61,MATCH(B36,Hypothèses!$A$41:$A$61,0))="Oui",INDEX(Hypothèses!$D$41:$D$61,MATCH(C36,Hypothèses!$A$41:$A$61,0))="Oui"),"Oui","Non")</f>
        <v>Oui</v>
      </c>
      <c r="J36" s="22" t="n">
        <f aca="false">MAX(0,G36-H36)</f>
        <v>19.71</v>
      </c>
      <c r="K36" s="18" t="n">
        <f aca="false">IF(I36="Oui",MAX(INDEX(Hypothèses!$C$41:$C$61,MATCH(B36,Hypothèses!$A$41:$A$61,0)),INDEX(Hypothèses!$C$41:$C$61,MATCH(C36,Hypothèses!$A$41:$A$61,0))),0)</f>
        <v>60</v>
      </c>
      <c r="L36" s="32" t="n">
        <f aca="false">IF(K36&gt;0,Hypothèses!$B$4/(K36/1000),0)</f>
        <v>0.366666666666667</v>
      </c>
      <c r="M36" s="18" t="n">
        <f aca="false">INDEX(Hypothèses!$B$41:$B$61,MATCH(B36,Hypothèses!$A$41:$A$61,0))</f>
        <v>20</v>
      </c>
      <c r="N36" s="18" t="n">
        <f aca="false">INDEX(Hypothèses!$B$41:$B$61,MATCH(C36,Hypothèses!$A$41:$A$61,0))</f>
        <v>30</v>
      </c>
      <c r="O36" s="24" t="n">
        <f aca="false">L36*J36*MAX(0,N36-M36)</f>
        <v>72.27</v>
      </c>
      <c r="P36" s="24" t="n">
        <f aca="false">L36*J36*MAX(0,M36-N36)</f>
        <v>0</v>
      </c>
    </row>
    <row r="37" customFormat="false" ht="15" hidden="false" customHeight="false" outlineLevel="0" collapsed="false">
      <c r="A37" s="20" t="s">
        <v>276</v>
      </c>
      <c r="B37" s="14" t="s">
        <v>131</v>
      </c>
      <c r="C37" s="14" t="s">
        <v>120</v>
      </c>
      <c r="D37" s="14" t="s">
        <v>277</v>
      </c>
      <c r="E37" s="21" t="n">
        <v>10.43</v>
      </c>
      <c r="F37" s="23" t="n">
        <f aca="false">MAX(IFERROR(INDEX(Zones!$G$5:$G$19,MATCH(B37,Zones!$A$5:$A$19,0)),0),IFERROR(INDEX(Zones!$G$5:$G$19,MATCH(C37,Zones!$A$5:$A$19,0)),0))</f>
        <v>6</v>
      </c>
      <c r="G37" s="22" t="n">
        <f aca="false">E37*F37</f>
        <v>62.58</v>
      </c>
      <c r="H37" s="22" t="n">
        <f aca="false">SUMIF(Portes!$D$5:$D$33,A37,Portes!$H$5:$H$33)</f>
        <v>0</v>
      </c>
      <c r="I37" s="14" t="str">
        <f aca="false">IF(OR(INDEX(Hypothèses!$D$41:$D$61,MATCH(B37,Hypothèses!$A$41:$A$61,0))="Oui",INDEX(Hypothèses!$D$41:$D$61,MATCH(C37,Hypothèses!$A$41:$A$61,0))="Oui"),"Oui","Non")</f>
        <v>Oui</v>
      </c>
      <c r="J37" s="22" t="n">
        <f aca="false">MAX(0,G37-H37)</f>
        <v>62.58</v>
      </c>
      <c r="K37" s="18" t="n">
        <f aca="false">IF(I37="Oui",MAX(INDEX(Hypothèses!$C$41:$C$61,MATCH(B37,Hypothèses!$A$41:$A$61,0)),INDEX(Hypothèses!$C$41:$C$61,MATCH(C37,Hypothèses!$A$41:$A$61,0))),0)</f>
        <v>60</v>
      </c>
      <c r="L37" s="32" t="n">
        <f aca="false">IF(K37&gt;0,Hypothèses!$B$4/(K37/1000),0)</f>
        <v>0.366666666666667</v>
      </c>
      <c r="M37" s="18" t="n">
        <f aca="false">INDEX(Hypothèses!$B$41:$B$61,MATCH(B37,Hypothèses!$A$41:$A$61,0))</f>
        <v>30</v>
      </c>
      <c r="N37" s="18" t="n">
        <f aca="false">INDEX(Hypothèses!$B$41:$B$61,MATCH(C37,Hypothèses!$A$41:$A$61,0))</f>
        <v>30</v>
      </c>
      <c r="O37" s="24" t="n">
        <f aca="false">L37*J37*MAX(0,N37-M37)</f>
        <v>0</v>
      </c>
      <c r="P37" s="24" t="n">
        <f aca="false">L37*J37*MAX(0,M37-N37)</f>
        <v>0</v>
      </c>
    </row>
    <row r="38" customFormat="false" ht="15" hidden="false" customHeight="false" outlineLevel="0" collapsed="false">
      <c r="A38" s="20" t="s">
        <v>278</v>
      </c>
      <c r="B38" s="14" t="s">
        <v>72</v>
      </c>
      <c r="C38" s="14" t="s">
        <v>120</v>
      </c>
      <c r="D38" s="14" t="s">
        <v>279</v>
      </c>
      <c r="E38" s="21" t="n">
        <v>3.93</v>
      </c>
      <c r="F38" s="23" t="n">
        <f aca="false">MAX(IFERROR(INDEX(Zones!$G$5:$G$19,MATCH(B38,Zones!$A$5:$A$19,0)),0),IFERROR(INDEX(Zones!$G$5:$G$19,MATCH(C38,Zones!$A$5:$A$19,0)),0))</f>
        <v>6</v>
      </c>
      <c r="G38" s="22" t="n">
        <f aca="false">E38*F38</f>
        <v>23.58</v>
      </c>
      <c r="H38" s="22" t="n">
        <f aca="false">SUMIF(Portes!$D$5:$D$33,A38,Portes!$H$5:$H$33)</f>
        <v>0</v>
      </c>
      <c r="I38" s="14" t="str">
        <f aca="false">IF(OR(INDEX(Hypothèses!$D$41:$D$61,MATCH(B38,Hypothèses!$A$41:$A$61,0))="Oui",INDEX(Hypothèses!$D$41:$D$61,MATCH(C38,Hypothèses!$A$41:$A$61,0))="Oui"),"Oui","Non")</f>
        <v>Oui</v>
      </c>
      <c r="J38" s="22" t="n">
        <f aca="false">MAX(0,G38-H38)</f>
        <v>23.58</v>
      </c>
      <c r="K38" s="18" t="n">
        <f aca="false">IF(I38="Oui",MAX(INDEX(Hypothèses!$C$41:$C$61,MATCH(B38,Hypothèses!$A$41:$A$61,0)),INDEX(Hypothèses!$C$41:$C$61,MATCH(C38,Hypothèses!$A$41:$A$61,0))),0)</f>
        <v>60</v>
      </c>
      <c r="L38" s="32" t="n">
        <f aca="false">IF(K38&gt;0,Hypothèses!$B$4/(K38/1000),0)</f>
        <v>0.366666666666667</v>
      </c>
      <c r="M38" s="18" t="n">
        <f aca="false">INDEX(Hypothèses!$B$41:$B$61,MATCH(B38,Hypothèses!$A$41:$A$61,0))</f>
        <v>30</v>
      </c>
      <c r="N38" s="18" t="n">
        <f aca="false">INDEX(Hypothèses!$B$41:$B$61,MATCH(C38,Hypothèses!$A$41:$A$61,0))</f>
        <v>30</v>
      </c>
      <c r="O38" s="24" t="n">
        <f aca="false">L38*J38*MAX(0,N38-M38)</f>
        <v>0</v>
      </c>
      <c r="P38" s="24" t="n">
        <f aca="false">L38*J38*MAX(0,M38-N38)</f>
        <v>0</v>
      </c>
    </row>
    <row r="39" customFormat="false" ht="15" hidden="false" customHeight="false" outlineLevel="0" collapsed="false">
      <c r="A39" s="20" t="s">
        <v>280</v>
      </c>
      <c r="B39" s="14" t="s">
        <v>120</v>
      </c>
      <c r="C39" s="14" t="s">
        <v>66</v>
      </c>
      <c r="D39" s="14" t="s">
        <v>281</v>
      </c>
      <c r="E39" s="21" t="n">
        <v>2.8</v>
      </c>
      <c r="F39" s="23" t="n">
        <f aca="false">MAX(IFERROR(INDEX(Zones!$G$5:$G$19,MATCH(B39,Zones!$A$5:$A$19,0)),0),IFERROR(INDEX(Zones!$G$5:$G$19,MATCH(C39,Zones!$A$5:$A$19,0)),0))</f>
        <v>6</v>
      </c>
      <c r="G39" s="22" t="n">
        <f aca="false">E39*F39</f>
        <v>16.8</v>
      </c>
      <c r="H39" s="22" t="n">
        <f aca="false">SUMIF(Portes!$D$5:$D$33,A39,Portes!$H$5:$H$33)</f>
        <v>0</v>
      </c>
      <c r="I39" s="14" t="str">
        <f aca="false">IF(OR(INDEX(Hypothèses!$D$41:$D$61,MATCH(B39,Hypothèses!$A$41:$A$61,0))="Oui",INDEX(Hypothèses!$D$41:$D$61,MATCH(C39,Hypothèses!$A$41:$A$61,0))="Oui"),"Oui","Non")</f>
        <v>Oui</v>
      </c>
      <c r="J39" s="22" t="n">
        <f aca="false">MAX(0,G39-H39)</f>
        <v>16.8</v>
      </c>
      <c r="K39" s="18" t="n">
        <f aca="false">IF(I39="Oui",MAX(INDEX(Hypothèses!$C$41:$C$61,MATCH(B39,Hypothèses!$A$41:$A$61,0)),INDEX(Hypothèses!$C$41:$C$61,MATCH(C39,Hypothèses!$A$41:$A$61,0))),0)</f>
        <v>60</v>
      </c>
      <c r="L39" s="32" t="n">
        <f aca="false">IF(K39&gt;0,Hypothèses!$B$4/(K39/1000),0)</f>
        <v>0.366666666666667</v>
      </c>
      <c r="M39" s="18" t="n">
        <f aca="false">INDEX(Hypothèses!$B$41:$B$61,MATCH(B39,Hypothèses!$A$41:$A$61,0))</f>
        <v>30</v>
      </c>
      <c r="N39" s="18" t="n">
        <f aca="false">INDEX(Hypothèses!$B$41:$B$61,MATCH(C39,Hypothèses!$A$41:$A$61,0))</f>
        <v>40</v>
      </c>
      <c r="O39" s="24" t="n">
        <f aca="false">L39*J39*MAX(0,N39-M39)</f>
        <v>61.6</v>
      </c>
      <c r="P39" s="24" t="n">
        <f aca="false">L39*J39*MAX(0,M39-N39)</f>
        <v>0</v>
      </c>
    </row>
    <row r="40" customFormat="false" ht="15" hidden="false" customHeight="false" outlineLevel="0" collapsed="false">
      <c r="A40" s="20" t="s">
        <v>282</v>
      </c>
      <c r="B40" s="14" t="s">
        <v>120</v>
      </c>
      <c r="C40" s="14" t="s">
        <v>66</v>
      </c>
      <c r="D40" s="14" t="s">
        <v>283</v>
      </c>
      <c r="E40" s="21" t="n">
        <v>2.8</v>
      </c>
      <c r="F40" s="23" t="n">
        <f aca="false">MAX(IFERROR(INDEX(Zones!$G$5:$G$19,MATCH(B40,Zones!$A$5:$A$19,0)),0),IFERROR(INDEX(Zones!$G$5:$G$19,MATCH(C40,Zones!$A$5:$A$19,0)),0))</f>
        <v>6</v>
      </c>
      <c r="G40" s="22" t="n">
        <f aca="false">E40*F40</f>
        <v>16.8</v>
      </c>
      <c r="H40" s="22" t="n">
        <f aca="false">SUMIF(Portes!$D$5:$D$33,A40,Portes!$H$5:$H$33)</f>
        <v>0</v>
      </c>
      <c r="I40" s="14" t="str">
        <f aca="false">IF(OR(INDEX(Hypothèses!$D$41:$D$61,MATCH(B40,Hypothèses!$A$41:$A$61,0))="Oui",INDEX(Hypothèses!$D$41:$D$61,MATCH(C40,Hypothèses!$A$41:$A$61,0))="Oui"),"Oui","Non")</f>
        <v>Oui</v>
      </c>
      <c r="J40" s="22" t="n">
        <f aca="false">MAX(0,G40-H40)</f>
        <v>16.8</v>
      </c>
      <c r="K40" s="18" t="n">
        <f aca="false">IF(I40="Oui",MAX(INDEX(Hypothèses!$C$41:$C$61,MATCH(B40,Hypothèses!$A$41:$A$61,0)),INDEX(Hypothèses!$C$41:$C$61,MATCH(C40,Hypothèses!$A$41:$A$61,0))),0)</f>
        <v>60</v>
      </c>
      <c r="L40" s="32" t="n">
        <f aca="false">IF(K40&gt;0,Hypothèses!$B$4/(K40/1000),0)</f>
        <v>0.366666666666667</v>
      </c>
      <c r="M40" s="18" t="n">
        <f aca="false">INDEX(Hypothèses!$B$41:$B$61,MATCH(B40,Hypothèses!$A$41:$A$61,0))</f>
        <v>30</v>
      </c>
      <c r="N40" s="18" t="n">
        <f aca="false">INDEX(Hypothèses!$B$41:$B$61,MATCH(C40,Hypothèses!$A$41:$A$61,0))</f>
        <v>40</v>
      </c>
      <c r="O40" s="24" t="n">
        <f aca="false">L40*J40*MAX(0,N40-M40)</f>
        <v>61.6</v>
      </c>
      <c r="P40" s="24" t="n">
        <f aca="false">L40*J40*MAX(0,M40-N40)</f>
        <v>0</v>
      </c>
    </row>
    <row r="41" customFormat="false" ht="15" hidden="false" customHeight="false" outlineLevel="0" collapsed="false">
      <c r="A41" s="20" t="s">
        <v>189</v>
      </c>
      <c r="B41" s="14" t="s">
        <v>120</v>
      </c>
      <c r="C41" s="14" t="s">
        <v>120</v>
      </c>
      <c r="D41" s="14" t="s">
        <v>284</v>
      </c>
      <c r="E41" s="21" t="n">
        <v>2.8</v>
      </c>
      <c r="F41" s="23" t="n">
        <f aca="false">MAX(IFERROR(INDEX(Zones!$G$5:$G$19,MATCH(B41,Zones!$A$5:$A$19,0)),0),IFERROR(INDEX(Zones!$G$5:$G$19,MATCH(C41,Zones!$A$5:$A$19,0)),0))</f>
        <v>6</v>
      </c>
      <c r="G41" s="22" t="n">
        <f aca="false">E41*F41</f>
        <v>16.8</v>
      </c>
      <c r="H41" s="22" t="n">
        <f aca="false">SUMIF(Portes!$D$5:$D$33,A41,Portes!$H$5:$H$33)</f>
        <v>2.94</v>
      </c>
      <c r="I41" s="14" t="str">
        <f aca="false">IF(OR(INDEX(Hypothèses!$D$41:$D$61,MATCH(B41,Hypothèses!$A$41:$A$61,0))="Oui",INDEX(Hypothèses!$D$41:$D$61,MATCH(C41,Hypothèses!$A$41:$A$61,0))="Oui"),"Oui","Non")</f>
        <v>Oui</v>
      </c>
      <c r="J41" s="22" t="n">
        <f aca="false">MAX(0,G41-H41)</f>
        <v>13.86</v>
      </c>
      <c r="K41" s="18" t="n">
        <f aca="false">IF(I41="Oui",MAX(INDEX(Hypothèses!$C$41:$C$61,MATCH(B41,Hypothèses!$A$41:$A$61,0)),INDEX(Hypothèses!$C$41:$C$61,MATCH(C41,Hypothèses!$A$41:$A$61,0))),0)</f>
        <v>60</v>
      </c>
      <c r="L41" s="32" t="n">
        <f aca="false">IF(K41&gt;0,Hypothèses!$B$4/(K41/1000),0)</f>
        <v>0.366666666666667</v>
      </c>
      <c r="M41" s="18" t="n">
        <f aca="false">INDEX(Hypothèses!$B$41:$B$61,MATCH(B41,Hypothèses!$A$41:$A$61,0))</f>
        <v>30</v>
      </c>
      <c r="N41" s="18" t="n">
        <f aca="false">INDEX(Hypothèses!$B$41:$B$61,MATCH(C41,Hypothèses!$A$41:$A$61,0))</f>
        <v>30</v>
      </c>
      <c r="O41" s="24" t="n">
        <f aca="false">L41*J41*MAX(0,N41-M41)</f>
        <v>0</v>
      </c>
      <c r="P41" s="24" t="n">
        <f aca="false">L41*J41*MAX(0,M41-N41)</f>
        <v>0</v>
      </c>
    </row>
    <row r="42" customFormat="false" ht="15" hidden="false" customHeight="false" outlineLevel="0" collapsed="false">
      <c r="A42" s="20" t="s">
        <v>192</v>
      </c>
      <c r="B42" s="14" t="s">
        <v>120</v>
      </c>
      <c r="C42" s="14" t="s">
        <v>126</v>
      </c>
      <c r="D42" s="14" t="s">
        <v>285</v>
      </c>
      <c r="E42" s="21" t="n">
        <v>15.24</v>
      </c>
      <c r="F42" s="23" t="n">
        <f aca="false">MAX(IFERROR(INDEX(Zones!$G$5:$G$19,MATCH(B42,Zones!$A$5:$A$19,0)),0),IFERROR(INDEX(Zones!$G$5:$G$19,MATCH(C42,Zones!$A$5:$A$19,0)),0))</f>
        <v>6</v>
      </c>
      <c r="G42" s="22" t="n">
        <f aca="false">E42*F42</f>
        <v>91.44</v>
      </c>
      <c r="H42" s="22" t="n">
        <f aca="false">SUMIF(Portes!$D$5:$D$33,A42,Portes!$H$5:$H$33)</f>
        <v>2.94</v>
      </c>
      <c r="I42" s="14" t="str">
        <f aca="false">IF(OR(INDEX(Hypothèses!$D$41:$D$61,MATCH(B42,Hypothèses!$A$41:$A$61,0))="Oui",INDEX(Hypothèses!$D$41:$D$61,MATCH(C42,Hypothèses!$A$41:$A$61,0))="Oui"),"Oui","Non")</f>
        <v>Oui</v>
      </c>
      <c r="J42" s="22" t="n">
        <f aca="false">MAX(0,G42-H42)</f>
        <v>88.5</v>
      </c>
      <c r="K42" s="18" t="n">
        <f aca="false">IF(I42="Oui",MAX(INDEX(Hypothèses!$C$41:$C$61,MATCH(B42,Hypothèses!$A$41:$A$61,0)),INDEX(Hypothèses!$C$41:$C$61,MATCH(C42,Hypothèses!$A$41:$A$61,0))),0)</f>
        <v>150</v>
      </c>
      <c r="L42" s="32" t="n">
        <f aca="false">IF(K42&gt;0,Hypothèses!$B$4/(K42/1000),0)</f>
        <v>0.146666666666667</v>
      </c>
      <c r="M42" s="18" t="n">
        <f aca="false">INDEX(Hypothèses!$B$41:$B$61,MATCH(B42,Hypothèses!$A$41:$A$61,0))</f>
        <v>30</v>
      </c>
      <c r="N42" s="18" t="n">
        <f aca="false">INDEX(Hypothèses!$B$41:$B$61,MATCH(C42,Hypothèses!$A$41:$A$61,0))</f>
        <v>-20</v>
      </c>
      <c r="O42" s="24" t="n">
        <f aca="false">L42*J42*MAX(0,N42-M42)</f>
        <v>0</v>
      </c>
      <c r="P42" s="24" t="n">
        <f aca="false">L42*J42*MAX(0,M42-N42)</f>
        <v>649</v>
      </c>
    </row>
    <row r="43" customFormat="false" ht="15" hidden="false" customHeight="false" outlineLevel="0" collapsed="false">
      <c r="A43" s="20" t="s">
        <v>195</v>
      </c>
      <c r="B43" s="14" t="s">
        <v>120</v>
      </c>
      <c r="C43" s="14" t="s">
        <v>123</v>
      </c>
      <c r="D43" s="14" t="s">
        <v>286</v>
      </c>
      <c r="E43" s="21" t="n">
        <v>4</v>
      </c>
      <c r="F43" s="23" t="n">
        <f aca="false">MAX(IFERROR(INDEX(Zones!$G$5:$G$19,MATCH(B43,Zones!$A$5:$A$19,0)),0),IFERROR(INDEX(Zones!$G$5:$G$19,MATCH(C43,Zones!$A$5:$A$19,0)),0))</f>
        <v>6</v>
      </c>
      <c r="G43" s="22" t="n">
        <f aca="false">E43*F43</f>
        <v>24</v>
      </c>
      <c r="H43" s="22" t="n">
        <f aca="false">SUMIF(Portes!$D$5:$D$33,A43,Portes!$H$5:$H$33)</f>
        <v>2.94</v>
      </c>
      <c r="I43" s="14" t="str">
        <f aca="false">IF(OR(INDEX(Hypothèses!$D$41:$D$61,MATCH(B43,Hypothèses!$A$41:$A$61,0))="Oui",INDEX(Hypothèses!$D$41:$D$61,MATCH(C43,Hypothèses!$A$41:$A$61,0))="Oui"),"Oui","Non")</f>
        <v>Oui</v>
      </c>
      <c r="J43" s="22" t="n">
        <f aca="false">MAX(0,G43-H43)</f>
        <v>21.06</v>
      </c>
      <c r="K43" s="18" t="n">
        <f aca="false">IF(I43="Oui",MAX(INDEX(Hypothèses!$C$41:$C$61,MATCH(B43,Hypothèses!$A$41:$A$61,0)),INDEX(Hypothèses!$C$41:$C$61,MATCH(C43,Hypothèses!$A$41:$A$61,0))),0)</f>
        <v>100</v>
      </c>
      <c r="L43" s="32" t="n">
        <f aca="false">IF(K43&gt;0,Hypothèses!$B$4/(K43/1000),0)</f>
        <v>0.22</v>
      </c>
      <c r="M43" s="18" t="n">
        <f aca="false">INDEX(Hypothèses!$B$41:$B$61,MATCH(B43,Hypothèses!$A$41:$A$61,0))</f>
        <v>30</v>
      </c>
      <c r="N43" s="18" t="n">
        <f aca="false">INDEX(Hypothèses!$B$41:$B$61,MATCH(C43,Hypothèses!$A$41:$A$61,0))</f>
        <v>5</v>
      </c>
      <c r="O43" s="24" t="n">
        <f aca="false">L43*J43*MAX(0,N43-M43)</f>
        <v>0</v>
      </c>
      <c r="P43" s="24" t="n">
        <f aca="false">L43*J43*MAX(0,M43-N43)</f>
        <v>115.83</v>
      </c>
    </row>
    <row r="44" customFormat="false" ht="15" hidden="false" customHeight="false" outlineLevel="0" collapsed="false">
      <c r="A44" s="20" t="s">
        <v>198</v>
      </c>
      <c r="B44" s="14" t="s">
        <v>120</v>
      </c>
      <c r="C44" s="14" t="s">
        <v>129</v>
      </c>
      <c r="D44" s="14" t="s">
        <v>287</v>
      </c>
      <c r="E44" s="21" t="n">
        <v>5</v>
      </c>
      <c r="F44" s="23" t="n">
        <f aca="false">MAX(IFERROR(INDEX(Zones!$G$5:$G$19,MATCH(B44,Zones!$A$5:$A$19,0)),0),IFERROR(INDEX(Zones!$G$5:$G$19,MATCH(C44,Zones!$A$5:$A$19,0)),0))</f>
        <v>6</v>
      </c>
      <c r="G44" s="22" t="n">
        <f aca="false">E44*F44</f>
        <v>30</v>
      </c>
      <c r="H44" s="22" t="n">
        <f aca="false">SUMIF(Portes!$D$5:$D$33,A44,Portes!$H$5:$H$33)</f>
        <v>2.94</v>
      </c>
      <c r="I44" s="14" t="str">
        <f aca="false">IF(OR(INDEX(Hypothèses!$D$41:$D$61,MATCH(B44,Hypothèses!$A$41:$A$61,0))="Oui",INDEX(Hypothèses!$D$41:$D$61,MATCH(C44,Hypothèses!$A$41:$A$61,0))="Oui"),"Oui","Non")</f>
        <v>Oui</v>
      </c>
      <c r="J44" s="22" t="n">
        <f aca="false">MAX(0,G44-H44)</f>
        <v>27.06</v>
      </c>
      <c r="K44" s="18" t="n">
        <f aca="false">IF(I44="Oui",MAX(INDEX(Hypothèses!$C$41:$C$61,MATCH(B44,Hypothèses!$A$41:$A$61,0)),INDEX(Hypothèses!$C$41:$C$61,MATCH(C44,Hypothèses!$A$41:$A$61,0))),0)</f>
        <v>100</v>
      </c>
      <c r="L44" s="32" t="n">
        <f aca="false">IF(K44&gt;0,Hypothèses!$B$4/(K44/1000),0)</f>
        <v>0.22</v>
      </c>
      <c r="M44" s="18" t="n">
        <f aca="false">INDEX(Hypothèses!$B$41:$B$61,MATCH(B44,Hypothèses!$A$41:$A$61,0))</f>
        <v>30</v>
      </c>
      <c r="N44" s="18" t="n">
        <f aca="false">INDEX(Hypothèses!$B$41:$B$61,MATCH(C44,Hypothèses!$A$41:$A$61,0))</f>
        <v>2</v>
      </c>
      <c r="O44" s="24" t="n">
        <f aca="false">L44*J44*MAX(0,N44-M44)</f>
        <v>0</v>
      </c>
      <c r="P44" s="24" t="n">
        <f aca="false">L44*J44*MAX(0,M44-N44)</f>
        <v>166.6896</v>
      </c>
    </row>
    <row r="45" customFormat="false" ht="15" hidden="false" customHeight="false" outlineLevel="0" collapsed="false">
      <c r="A45" s="20" t="s">
        <v>288</v>
      </c>
      <c r="B45" s="14" t="s">
        <v>126</v>
      </c>
      <c r="C45" s="14" t="s">
        <v>129</v>
      </c>
      <c r="D45" s="14" t="s">
        <v>289</v>
      </c>
      <c r="E45" s="21" t="n">
        <v>15.01</v>
      </c>
      <c r="F45" s="23" t="n">
        <f aca="false">MAX(IFERROR(INDEX(Zones!$G$5:$G$19,MATCH(B45,Zones!$A$5:$A$19,0)),0),IFERROR(INDEX(Zones!$G$5:$G$19,MATCH(C45,Zones!$A$5:$A$19,0)),0))</f>
        <v>6</v>
      </c>
      <c r="G45" s="22" t="n">
        <f aca="false">E45*F45</f>
        <v>90.06</v>
      </c>
      <c r="H45" s="22" t="n">
        <f aca="false">SUMIF(Portes!$D$5:$D$33,A45,Portes!$H$5:$H$33)</f>
        <v>0</v>
      </c>
      <c r="I45" s="14" t="str">
        <f aca="false">IF(OR(INDEX(Hypothèses!$D$41:$D$61,MATCH(B45,Hypothèses!$A$41:$A$61,0))="Oui",INDEX(Hypothèses!$D$41:$D$61,MATCH(C45,Hypothèses!$A$41:$A$61,0))="Oui"),"Oui","Non")</f>
        <v>Oui</v>
      </c>
      <c r="J45" s="22" t="n">
        <f aca="false">MAX(0,G45-H45)</f>
        <v>90.06</v>
      </c>
      <c r="K45" s="18" t="n">
        <f aca="false">IF(I45="Oui",MAX(INDEX(Hypothèses!$C$41:$C$61,MATCH(B45,Hypothèses!$A$41:$A$61,0)),INDEX(Hypothèses!$C$41:$C$61,MATCH(C45,Hypothèses!$A$41:$A$61,0))),0)</f>
        <v>150</v>
      </c>
      <c r="L45" s="32" t="n">
        <f aca="false">IF(K45&gt;0,Hypothèses!$B$4/(K45/1000),0)</f>
        <v>0.146666666666667</v>
      </c>
      <c r="M45" s="18" t="n">
        <f aca="false">INDEX(Hypothèses!$B$41:$B$61,MATCH(B45,Hypothèses!$A$41:$A$61,0))</f>
        <v>-20</v>
      </c>
      <c r="N45" s="18" t="n">
        <f aca="false">INDEX(Hypothèses!$B$41:$B$61,MATCH(C45,Hypothèses!$A$41:$A$61,0))</f>
        <v>2</v>
      </c>
      <c r="O45" s="24" t="n">
        <f aca="false">L45*J45*MAX(0,N45-M45)</f>
        <v>290.5936</v>
      </c>
      <c r="P45" s="24" t="n">
        <f aca="false">L45*J45*MAX(0,M45-N45)</f>
        <v>0</v>
      </c>
    </row>
    <row r="46" customFormat="false" ht="15" hidden="false" customHeight="false" outlineLevel="0" collapsed="false">
      <c r="A46" s="20" t="s">
        <v>200</v>
      </c>
      <c r="B46" s="14" t="s">
        <v>123</v>
      </c>
      <c r="C46" s="14" t="s">
        <v>66</v>
      </c>
      <c r="D46" s="14" t="s">
        <v>290</v>
      </c>
      <c r="E46" s="21" t="n">
        <v>11.015</v>
      </c>
      <c r="F46" s="23" t="n">
        <f aca="false">MAX(IFERROR(INDEX(Zones!$G$5:$G$19,MATCH(B46,Zones!$A$5:$A$19,0)),0),IFERROR(INDEX(Zones!$G$5:$G$19,MATCH(C46,Zones!$A$5:$A$19,0)),0))</f>
        <v>6</v>
      </c>
      <c r="G46" s="22" t="n">
        <f aca="false">E46*F46</f>
        <v>66.09</v>
      </c>
      <c r="H46" s="22" t="n">
        <f aca="false">SUMIF(Portes!$D$5:$D$33,A46,Portes!$H$5:$H$33)</f>
        <v>8.4</v>
      </c>
      <c r="I46" s="14" t="str">
        <f aca="false">IF(OR(INDEX(Hypothèses!$D$41:$D$61,MATCH(B46,Hypothèses!$A$41:$A$61,0))="Oui",INDEX(Hypothèses!$D$41:$D$61,MATCH(C46,Hypothèses!$A$41:$A$61,0))="Oui"),"Oui","Non")</f>
        <v>Oui</v>
      </c>
      <c r="J46" s="22" t="n">
        <f aca="false">MAX(0,G46-H46)</f>
        <v>57.69</v>
      </c>
      <c r="K46" s="18" t="n">
        <f aca="false">IF(I46="Oui",MAX(INDEX(Hypothèses!$C$41:$C$61,MATCH(B46,Hypothèses!$A$41:$A$61,0)),INDEX(Hypothèses!$C$41:$C$61,MATCH(C46,Hypothèses!$A$41:$A$61,0))),0)</f>
        <v>100</v>
      </c>
      <c r="L46" s="32" t="n">
        <f aca="false">IF(K46&gt;0,Hypothèses!$B$4/(K46/1000),0)</f>
        <v>0.22</v>
      </c>
      <c r="M46" s="18" t="n">
        <f aca="false">INDEX(Hypothèses!$B$41:$B$61,MATCH(B46,Hypothèses!$A$41:$A$61,0))</f>
        <v>5</v>
      </c>
      <c r="N46" s="18" t="n">
        <f aca="false">INDEX(Hypothèses!$B$41:$B$61,MATCH(C46,Hypothèses!$A$41:$A$61,0))</f>
        <v>40</v>
      </c>
      <c r="O46" s="24" t="n">
        <f aca="false">L46*J46*MAX(0,N46-M46)</f>
        <v>444.213</v>
      </c>
      <c r="P46" s="24" t="n">
        <f aca="false">L46*J46*MAX(0,M46-N46)</f>
        <v>0</v>
      </c>
    </row>
    <row r="47" customFormat="false" ht="15" hidden="false" customHeight="false" outlineLevel="0" collapsed="false">
      <c r="A47" s="20" t="s">
        <v>291</v>
      </c>
      <c r="B47" s="14" t="s">
        <v>126</v>
      </c>
      <c r="C47" s="14" t="s">
        <v>66</v>
      </c>
      <c r="D47" s="14" t="s">
        <v>292</v>
      </c>
      <c r="E47" s="21" t="n">
        <v>3.895</v>
      </c>
      <c r="F47" s="23" t="n">
        <f aca="false">MAX(IFERROR(INDEX(Zones!$G$5:$G$19,MATCH(B47,Zones!$A$5:$A$19,0)),0),IFERROR(INDEX(Zones!$G$5:$G$19,MATCH(C47,Zones!$A$5:$A$19,0)),0))</f>
        <v>6</v>
      </c>
      <c r="G47" s="22" t="n">
        <f aca="false">E47*F47</f>
        <v>23.37</v>
      </c>
      <c r="H47" s="22" t="n">
        <f aca="false">SUMIF(Portes!$D$5:$D$33,A47,Portes!$H$5:$H$33)</f>
        <v>0</v>
      </c>
      <c r="I47" s="14" t="str">
        <f aca="false">IF(OR(INDEX(Hypothèses!$D$41:$D$61,MATCH(B47,Hypothèses!$A$41:$A$61,0))="Oui",INDEX(Hypothèses!$D$41:$D$61,MATCH(C47,Hypothèses!$A$41:$A$61,0))="Oui"),"Oui","Non")</f>
        <v>Oui</v>
      </c>
      <c r="J47" s="22" t="n">
        <f aca="false">MAX(0,G47-H47)</f>
        <v>23.37</v>
      </c>
      <c r="K47" s="18" t="n">
        <f aca="false">IF(I47="Oui",MAX(INDEX(Hypothèses!$C$41:$C$61,MATCH(B47,Hypothèses!$A$41:$A$61,0)),INDEX(Hypothèses!$C$41:$C$61,MATCH(C47,Hypothèses!$A$41:$A$61,0))),0)</f>
        <v>150</v>
      </c>
      <c r="L47" s="32" t="n">
        <f aca="false">IF(K47&gt;0,Hypothèses!$B$4/(K47/1000),0)</f>
        <v>0.146666666666667</v>
      </c>
      <c r="M47" s="18" t="n">
        <f aca="false">INDEX(Hypothèses!$B$41:$B$61,MATCH(B47,Hypothèses!$A$41:$A$61,0))</f>
        <v>-20</v>
      </c>
      <c r="N47" s="18" t="n">
        <f aca="false">INDEX(Hypothèses!$B$41:$B$61,MATCH(C47,Hypothèses!$A$41:$A$61,0))</f>
        <v>40</v>
      </c>
      <c r="O47" s="24" t="n">
        <f aca="false">L47*J47*MAX(0,N47-M47)</f>
        <v>205.656</v>
      </c>
      <c r="P47" s="24" t="n">
        <f aca="false">L47*J47*MAX(0,M47-N47)</f>
        <v>0</v>
      </c>
    </row>
    <row r="48" customFormat="false" ht="15" hidden="false" customHeight="false" outlineLevel="0" collapsed="false">
      <c r="A48" s="20" t="s">
        <v>203</v>
      </c>
      <c r="B48" s="14" t="s">
        <v>123</v>
      </c>
      <c r="C48" s="14" t="s">
        <v>126</v>
      </c>
      <c r="D48" s="14" t="s">
        <v>293</v>
      </c>
      <c r="E48" s="21" t="n">
        <v>15.22</v>
      </c>
      <c r="F48" s="23" t="n">
        <f aca="false">MAX(IFERROR(INDEX(Zones!$G$5:$G$19,MATCH(B48,Zones!$A$5:$A$19,0)),0),IFERROR(INDEX(Zones!$G$5:$G$19,MATCH(C48,Zones!$A$5:$A$19,0)),0))</f>
        <v>6</v>
      </c>
      <c r="G48" s="22" t="n">
        <f aca="false">E48*F48</f>
        <v>91.32</v>
      </c>
      <c r="H48" s="22" t="n">
        <f aca="false">SUMIF(Portes!$D$5:$D$33,A48,Portes!$H$5:$H$33)</f>
        <v>7.2</v>
      </c>
      <c r="I48" s="14" t="str">
        <f aca="false">IF(OR(INDEX(Hypothèses!$D$41:$D$61,MATCH(B48,Hypothèses!$A$41:$A$61,0))="Oui",INDEX(Hypothèses!$D$41:$D$61,MATCH(C48,Hypothèses!$A$41:$A$61,0))="Oui"),"Oui","Non")</f>
        <v>Oui</v>
      </c>
      <c r="J48" s="22" t="n">
        <f aca="false">MAX(0,G48-H48)</f>
        <v>84.12</v>
      </c>
      <c r="K48" s="18" t="n">
        <f aca="false">IF(I48="Oui",MAX(INDEX(Hypothèses!$C$41:$C$61,MATCH(B48,Hypothèses!$A$41:$A$61,0)),INDEX(Hypothèses!$C$41:$C$61,MATCH(C48,Hypothèses!$A$41:$A$61,0))),0)</f>
        <v>150</v>
      </c>
      <c r="L48" s="32" t="n">
        <f aca="false">IF(K48&gt;0,Hypothèses!$B$4/(K48/1000),0)</f>
        <v>0.146666666666667</v>
      </c>
      <c r="M48" s="18" t="n">
        <f aca="false">INDEX(Hypothèses!$B$41:$B$61,MATCH(B48,Hypothèses!$A$41:$A$61,0))</f>
        <v>5</v>
      </c>
      <c r="N48" s="18" t="n">
        <f aca="false">INDEX(Hypothèses!$B$41:$B$61,MATCH(C48,Hypothèses!$A$41:$A$61,0))</f>
        <v>-20</v>
      </c>
      <c r="O48" s="24" t="n">
        <f aca="false">L48*J48*MAX(0,N48-M48)</f>
        <v>0</v>
      </c>
      <c r="P48" s="24" t="n">
        <f aca="false">L48*J48*MAX(0,M48-N48)</f>
        <v>308.44</v>
      </c>
    </row>
    <row r="49" customFormat="false" ht="15" hidden="false" customHeight="false" outlineLevel="0" collapsed="false">
      <c r="A49" s="20" t="s">
        <v>294</v>
      </c>
      <c r="B49" s="14" t="s">
        <v>126</v>
      </c>
      <c r="C49" s="14" t="s">
        <v>71</v>
      </c>
      <c r="D49" s="14" t="s">
        <v>295</v>
      </c>
      <c r="E49" s="21" t="n">
        <v>19.34</v>
      </c>
      <c r="F49" s="23" t="n">
        <f aca="false">MAX(IFERROR(INDEX(Zones!$G$5:$G$19,MATCH(B49,Zones!$A$5:$A$19,0)),0),IFERROR(INDEX(Zones!$G$5:$G$19,MATCH(C49,Zones!$A$5:$A$19,0)),0))</f>
        <v>6</v>
      </c>
      <c r="G49" s="22" t="n">
        <f aca="false">E49*F49</f>
        <v>116.04</v>
      </c>
      <c r="H49" s="22" t="n">
        <f aca="false">SUMIF(Portes!$D$5:$D$33,A49,Portes!$H$5:$H$33)</f>
        <v>0</v>
      </c>
      <c r="I49" s="14" t="str">
        <f aca="false">IF(OR(INDEX(Hypothèses!$D$41:$D$61,MATCH(B49,Hypothèses!$A$41:$A$61,0))="Oui",INDEX(Hypothèses!$D$41:$D$61,MATCH(C49,Hypothèses!$A$41:$A$61,0))="Oui"),"Oui","Non")</f>
        <v>Oui</v>
      </c>
      <c r="J49" s="22" t="n">
        <f aca="false">MAX(0,G49-H49)</f>
        <v>116.04</v>
      </c>
      <c r="K49" s="18" t="n">
        <f aca="false">IF(I49="Oui",MAX(INDEX(Hypothèses!$C$41:$C$61,MATCH(B49,Hypothèses!$A$41:$A$61,0)),INDEX(Hypothèses!$C$41:$C$61,MATCH(C49,Hypothèses!$A$41:$A$61,0))),0)</f>
        <v>150</v>
      </c>
      <c r="L49" s="32" t="n">
        <f aca="false">IF(K49&gt;0,Hypothèses!$B$4/(K49/1000),0)</f>
        <v>0.146666666666667</v>
      </c>
      <c r="M49" s="18" t="n">
        <f aca="false">INDEX(Hypothèses!$B$41:$B$61,MATCH(B49,Hypothèses!$A$41:$A$61,0))</f>
        <v>-20</v>
      </c>
      <c r="N49" s="18" t="n">
        <f aca="false">INDEX(Hypothèses!$B$41:$B$61,MATCH(C49,Hypothèses!$A$41:$A$61,0))</f>
        <v>25</v>
      </c>
      <c r="O49" s="24" t="n">
        <f aca="false">L49*J49*MAX(0,N49-M49)</f>
        <v>765.864</v>
      </c>
      <c r="P49" s="24" t="n">
        <f aca="false">L49*J49*MAX(0,M49-N49)</f>
        <v>0</v>
      </c>
    </row>
    <row r="50" customFormat="false" ht="15" hidden="false" customHeight="false" outlineLevel="0" collapsed="false">
      <c r="A50" s="20" t="s">
        <v>296</v>
      </c>
      <c r="B50" s="14" t="s">
        <v>129</v>
      </c>
      <c r="C50" s="14" t="s">
        <v>71</v>
      </c>
      <c r="D50" s="14" t="s">
        <v>297</v>
      </c>
      <c r="E50" s="21" t="n">
        <v>5</v>
      </c>
      <c r="F50" s="23" t="n">
        <f aca="false">MAX(IFERROR(INDEX(Zones!$G$5:$G$19,MATCH(B50,Zones!$A$5:$A$19,0)),0),IFERROR(INDEX(Zones!$G$5:$G$19,MATCH(C50,Zones!$A$5:$A$19,0)),0))</f>
        <v>6</v>
      </c>
      <c r="G50" s="22" t="n">
        <f aca="false">E50*F50</f>
        <v>30</v>
      </c>
      <c r="H50" s="22" t="n">
        <f aca="false">SUMIF(Portes!$D$5:$D$33,A50,Portes!$H$5:$H$33)</f>
        <v>0</v>
      </c>
      <c r="I50" s="14" t="str">
        <f aca="false">IF(OR(INDEX(Hypothèses!$D$41:$D$61,MATCH(B50,Hypothèses!$A$41:$A$61,0))="Oui",INDEX(Hypothèses!$D$41:$D$61,MATCH(C50,Hypothèses!$A$41:$A$61,0))="Oui"),"Oui","Non")</f>
        <v>Oui</v>
      </c>
      <c r="J50" s="22" t="n">
        <f aca="false">MAX(0,G50-H50)</f>
        <v>30</v>
      </c>
      <c r="K50" s="18" t="n">
        <f aca="false">IF(I50="Oui",MAX(INDEX(Hypothèses!$C$41:$C$61,MATCH(B50,Hypothèses!$A$41:$A$61,0)),INDEX(Hypothèses!$C$41:$C$61,MATCH(C50,Hypothèses!$A$41:$A$61,0))),0)</f>
        <v>100</v>
      </c>
      <c r="L50" s="32" t="n">
        <f aca="false">IF(K50&gt;0,Hypothèses!$B$4/(K50/1000),0)</f>
        <v>0.22</v>
      </c>
      <c r="M50" s="18" t="n">
        <f aca="false">INDEX(Hypothèses!$B$41:$B$61,MATCH(B50,Hypothèses!$A$41:$A$61,0))</f>
        <v>2</v>
      </c>
      <c r="N50" s="18" t="n">
        <f aca="false">INDEX(Hypothèses!$B$41:$B$61,MATCH(C50,Hypothèses!$A$41:$A$61,0))</f>
        <v>25</v>
      </c>
      <c r="O50" s="24" t="n">
        <f aca="false">L50*J50*MAX(0,N50-M50)</f>
        <v>151.8</v>
      </c>
      <c r="P50" s="24" t="n">
        <f aca="false">L50*J50*MAX(0,M50-N50)</f>
        <v>0</v>
      </c>
    </row>
    <row r="51" customFormat="false" ht="15" hidden="false" customHeight="false" outlineLevel="0" collapsed="false">
      <c r="A51" s="20" t="s">
        <v>298</v>
      </c>
      <c r="B51" s="14" t="s">
        <v>129</v>
      </c>
      <c r="C51" s="14" t="s">
        <v>66</v>
      </c>
      <c r="D51" s="14" t="s">
        <v>299</v>
      </c>
      <c r="E51" s="21" t="n">
        <v>15.01</v>
      </c>
      <c r="F51" s="23" t="n">
        <f aca="false">MAX(IFERROR(INDEX(Zones!$G$5:$G$19,MATCH(B51,Zones!$A$5:$A$19,0)),0),IFERROR(INDEX(Zones!$G$5:$G$19,MATCH(C51,Zones!$A$5:$A$19,0)),0))</f>
        <v>6</v>
      </c>
      <c r="G51" s="22" t="n">
        <f aca="false">E51*F51</f>
        <v>90.06</v>
      </c>
      <c r="H51" s="22" t="n">
        <f aca="false">SUMIF(Portes!$D$5:$D$33,A51,Portes!$H$5:$H$33)</f>
        <v>0</v>
      </c>
      <c r="I51" s="14" t="str">
        <f aca="false">IF(OR(INDEX(Hypothèses!$D$41:$D$61,MATCH(B51,Hypothèses!$A$41:$A$61,0))="Oui",INDEX(Hypothèses!$D$41:$D$61,MATCH(C51,Hypothèses!$A$41:$A$61,0))="Oui"),"Oui","Non")</f>
        <v>Oui</v>
      </c>
      <c r="J51" s="22" t="n">
        <f aca="false">MAX(0,G51-H51)</f>
        <v>90.06</v>
      </c>
      <c r="K51" s="18" t="n">
        <f aca="false">IF(I51="Oui",MAX(INDEX(Hypothèses!$C$41:$C$61,MATCH(B51,Hypothèses!$A$41:$A$61,0)),INDEX(Hypothèses!$C$41:$C$61,MATCH(C51,Hypothèses!$A$41:$A$61,0))),0)</f>
        <v>100</v>
      </c>
      <c r="L51" s="32" t="n">
        <f aca="false">IF(K51&gt;0,Hypothèses!$B$4/(K51/1000),0)</f>
        <v>0.22</v>
      </c>
      <c r="M51" s="18" t="n">
        <f aca="false">INDEX(Hypothèses!$B$41:$B$61,MATCH(B51,Hypothèses!$A$41:$A$61,0))</f>
        <v>2</v>
      </c>
      <c r="N51" s="18" t="n">
        <f aca="false">INDEX(Hypothèses!$B$41:$B$61,MATCH(C51,Hypothèses!$A$41:$A$61,0))</f>
        <v>40</v>
      </c>
      <c r="O51" s="24" t="n">
        <f aca="false">L51*J51*MAX(0,N51-M51)</f>
        <v>752.9016</v>
      </c>
      <c r="P51" s="24" t="n">
        <f aca="false">L51*J51*MAX(0,M51-N51)</f>
        <v>0</v>
      </c>
    </row>
    <row r="52" customFormat="false" ht="15" hidden="false" customHeight="false" outlineLevel="0" collapsed="false">
      <c r="A52" s="20" t="s">
        <v>206</v>
      </c>
      <c r="B52" s="14" t="s">
        <v>131</v>
      </c>
      <c r="C52" s="14" t="s">
        <v>66</v>
      </c>
      <c r="D52" s="14" t="s">
        <v>300</v>
      </c>
      <c r="E52" s="21" t="n">
        <v>49.5</v>
      </c>
      <c r="F52" s="23" t="n">
        <f aca="false">MAX(IFERROR(INDEX(Zones!$G$5:$G$19,MATCH(B52,Zones!$A$5:$A$19,0)),0),IFERROR(INDEX(Zones!$G$5:$G$19,MATCH(C52,Zones!$A$5:$A$19,0)),0))</f>
        <v>6</v>
      </c>
      <c r="G52" s="22" t="n">
        <f aca="false">E52*F52</f>
        <v>297</v>
      </c>
      <c r="H52" s="22" t="n">
        <f aca="false">SUMIF(Portes!$D$5:$D$33,A52,Portes!$H$5:$H$33)</f>
        <v>5.88</v>
      </c>
      <c r="I52" s="14" t="str">
        <f aca="false">IF(OR(INDEX(Hypothèses!$D$41:$D$61,MATCH(B52,Hypothèses!$A$41:$A$61,0))="Oui",INDEX(Hypothèses!$D$41:$D$61,MATCH(C52,Hypothèses!$A$41:$A$61,0))="Oui"),"Oui","Non")</f>
        <v>Non</v>
      </c>
      <c r="J52" s="22" t="n">
        <f aca="false">MAX(0,G52-H52)</f>
        <v>291.12</v>
      </c>
      <c r="K52" s="18" t="n">
        <f aca="false">IF(I52="Oui",MAX(INDEX(Hypothèses!$C$41:$C$61,MATCH(B52,Hypothèses!$A$41:$A$61,0)),INDEX(Hypothèses!$C$41:$C$61,MATCH(C52,Hypothèses!$A$41:$A$61,0))),0)</f>
        <v>0</v>
      </c>
      <c r="L52" s="32" t="n">
        <f aca="false">IF(K52&gt;0,Hypothèses!$B$4/(K52/1000),0)</f>
        <v>0</v>
      </c>
      <c r="M52" s="18" t="n">
        <f aca="false">INDEX(Hypothèses!$B$41:$B$61,MATCH(B52,Hypothèses!$A$41:$A$61,0))</f>
        <v>30</v>
      </c>
      <c r="N52" s="18" t="n">
        <f aca="false">INDEX(Hypothèses!$B$41:$B$61,MATCH(C52,Hypothèses!$A$41:$A$61,0))</f>
        <v>40</v>
      </c>
      <c r="O52" s="24" t="n">
        <f aca="false">L52*J52*MAX(0,N52-M52)</f>
        <v>0</v>
      </c>
      <c r="P52" s="24" t="n">
        <f aca="false">L52*J52*MAX(0,M52-N52)</f>
        <v>0</v>
      </c>
    </row>
    <row r="53" customFormat="false" ht="15" hidden="false" customHeight="false" outlineLevel="0" collapsed="false">
      <c r="A53" s="20" t="s">
        <v>211</v>
      </c>
      <c r="B53" s="14" t="s">
        <v>131</v>
      </c>
      <c r="C53" s="14" t="s">
        <v>131</v>
      </c>
      <c r="D53" s="14" t="s">
        <v>301</v>
      </c>
      <c r="E53" s="21" t="n">
        <v>17.6</v>
      </c>
      <c r="F53" s="23" t="n">
        <f aca="false">MAX(IFERROR(INDEX(Zones!$G$5:$G$19,MATCH(B53,Zones!$A$5:$A$19,0)),0),IFERROR(INDEX(Zones!$G$5:$G$19,MATCH(C53,Zones!$A$5:$A$19,0)),0))</f>
        <v>6</v>
      </c>
      <c r="G53" s="22" t="n">
        <f aca="false">E53*F53</f>
        <v>105.6</v>
      </c>
      <c r="H53" s="22" t="n">
        <f aca="false">SUMIF(Portes!$D$5:$D$33,A53,Portes!$H$5:$H$33)</f>
        <v>5.88</v>
      </c>
      <c r="I53" s="14" t="str">
        <f aca="false">IF(OR(INDEX(Hypothèses!$D$41:$D$61,MATCH(B53,Hypothèses!$A$41:$A$61,0))="Oui",INDEX(Hypothèses!$D$41:$D$61,MATCH(C53,Hypothèses!$A$41:$A$61,0))="Oui"),"Oui","Non")</f>
        <v>Non</v>
      </c>
      <c r="J53" s="22" t="n">
        <f aca="false">MAX(0,G53-H53)</f>
        <v>99.72</v>
      </c>
      <c r="K53" s="18" t="n">
        <f aca="false">IF(I53="Oui",MAX(INDEX(Hypothèses!$C$41:$C$61,MATCH(B53,Hypothèses!$A$41:$A$61,0)),INDEX(Hypothèses!$C$41:$C$61,MATCH(C53,Hypothèses!$A$41:$A$61,0))),0)</f>
        <v>0</v>
      </c>
      <c r="L53" s="32" t="n">
        <f aca="false">IF(K53&gt;0,Hypothèses!$B$4/(K53/1000),0)</f>
        <v>0</v>
      </c>
      <c r="M53" s="18" t="n">
        <f aca="false">INDEX(Hypothèses!$B$41:$B$61,MATCH(B53,Hypothèses!$A$41:$A$61,0))</f>
        <v>30</v>
      </c>
      <c r="N53" s="18" t="n">
        <f aca="false">INDEX(Hypothèses!$B$41:$B$61,MATCH(C53,Hypothèses!$A$41:$A$61,0))</f>
        <v>30</v>
      </c>
      <c r="O53" s="24" t="n">
        <f aca="false">L53*J53*MAX(0,N53-M53)</f>
        <v>0</v>
      </c>
      <c r="P53" s="24" t="n">
        <f aca="false">L53*J53*MAX(0,M53-N53)</f>
        <v>0</v>
      </c>
    </row>
    <row r="54" customFormat="false" ht="15" hidden="false" customHeight="false" outlineLevel="0" collapsed="false">
      <c r="D54" s="28" t="s">
        <v>134</v>
      </c>
      <c r="E54" s="29" t="n">
        <f aca="false">SUM(E5:E53)</f>
        <v>500.235</v>
      </c>
      <c r="G54" s="29" t="n">
        <f aca="false">SUM(G5:G53)</f>
        <v>3001.41</v>
      </c>
      <c r="H54" s="29" t="n">
        <f aca="false">SUM(H5:H53)</f>
        <v>120.338</v>
      </c>
      <c r="J54" s="29" t="n">
        <f aca="false">SUM(J5:J53)</f>
        <v>2881.072</v>
      </c>
    </row>
    <row r="56" customFormat="false" ht="15" hidden="false" customHeight="false" outlineLevel="0" collapsed="false">
      <c r="D56" s="3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4" t="s">
        <v>303</v>
      </c>
    </row>
    <row r="2" customFormat="false" ht="15" hidden="false" customHeight="false" outlineLevel="0" collapsed="false">
      <c r="A2" s="8" t="s">
        <v>304</v>
      </c>
    </row>
    <row r="4" customFormat="false" ht="45" hidden="false" customHeight="true" outlineLevel="0" collapsed="false">
      <c r="A4" s="19" t="s">
        <v>47</v>
      </c>
      <c r="B4" s="19" t="s">
        <v>305</v>
      </c>
      <c r="C4" s="19" t="s">
        <v>306</v>
      </c>
      <c r="D4" s="19" t="s">
        <v>307</v>
      </c>
      <c r="E4" s="19" t="s">
        <v>308</v>
      </c>
      <c r="F4" s="19" t="s">
        <v>48</v>
      </c>
      <c r="G4" s="19" t="s">
        <v>309</v>
      </c>
    </row>
    <row r="5" customFormat="false" ht="15" hidden="false" customHeight="false" outlineLevel="0" collapsed="false">
      <c r="A5" s="17" t="n">
        <f aca="false">Hypothèses!B22</f>
        <v>150</v>
      </c>
      <c r="B5" s="22" t="n">
        <f aca="false">SUMIFS(Parois!$J$5:$J$53,Parois!$K$5:$K$53,A5,Parois!$I$5:$I$53,"Oui")</f>
        <v>402.09</v>
      </c>
      <c r="C5" s="22" t="n">
        <f aca="false">SUMIF(Zones!$L$5:$L$19,A5,Zones!$N$5:$N$19)</f>
        <v>244.72</v>
      </c>
      <c r="D5" s="22" t="n">
        <f aca="false">B5+C5</f>
        <v>646.81</v>
      </c>
      <c r="E5" s="22" t="n">
        <f aca="false">D5*(1+Hypothèses!$B$9)</f>
        <v>679.1505</v>
      </c>
      <c r="F5" s="34" t="n">
        <f aca="false">Hypothèses!C22</f>
        <v>420</v>
      </c>
      <c r="G5" s="24" t="n">
        <f aca="false">E5*F5</f>
        <v>285243.21</v>
      </c>
    </row>
    <row r="6" customFormat="false" ht="15" hidden="false" customHeight="false" outlineLevel="0" collapsed="false">
      <c r="A6" s="17" t="n">
        <f aca="false">Hypothèses!B23</f>
        <v>100</v>
      </c>
      <c r="B6" s="22" t="n">
        <f aca="false">SUMIFS(Parois!$J$5:$J$53,Parois!$K$5:$K$53,A6,Parois!$I$5:$I$53,"Oui")</f>
        <v>225.87</v>
      </c>
      <c r="C6" s="22" t="n">
        <f aca="false">SUMIF(Zones!$L$5:$L$19,A6,Zones!$N$5:$N$19)</f>
        <v>119.11</v>
      </c>
      <c r="D6" s="22" t="n">
        <f aca="false">B6+C6</f>
        <v>344.98</v>
      </c>
      <c r="E6" s="22" t="n">
        <f aca="false">D6*(1+Hypothèses!$B$9)</f>
        <v>362.229</v>
      </c>
      <c r="F6" s="34" t="n">
        <f aca="false">Hypothèses!C23</f>
        <v>330</v>
      </c>
      <c r="G6" s="24" t="n">
        <f aca="false">E6*F6</f>
        <v>119535.57</v>
      </c>
    </row>
    <row r="7" customFormat="false" ht="15" hidden="false" customHeight="false" outlineLevel="0" collapsed="false">
      <c r="A7" s="17" t="n">
        <f aca="false">Hypothèses!B24</f>
        <v>80</v>
      </c>
      <c r="B7" s="22" t="n">
        <f aca="false">SUMIFS(Parois!$J$5:$J$53,Parois!$K$5:$K$53,A7,Parois!$I$5:$I$53,"Oui")</f>
        <v>374</v>
      </c>
      <c r="C7" s="22" t="n">
        <f aca="false">SUMIF(Zones!$L$5:$L$19,A7,Zones!$N$5:$N$19)</f>
        <v>183.57</v>
      </c>
      <c r="D7" s="22" t="n">
        <f aca="false">B7+C7</f>
        <v>557.57</v>
      </c>
      <c r="E7" s="22" t="n">
        <f aca="false">D7*(1+Hypothèses!$B$9)</f>
        <v>585.4485</v>
      </c>
      <c r="F7" s="34" t="n">
        <f aca="false">Hypothèses!C24</f>
        <v>290</v>
      </c>
      <c r="G7" s="24" t="n">
        <f aca="false">E7*F7</f>
        <v>169780.065</v>
      </c>
    </row>
    <row r="8" customFormat="false" ht="15" hidden="false" customHeight="false" outlineLevel="0" collapsed="false">
      <c r="A8" s="17" t="n">
        <f aca="false">Hypothèses!B25</f>
        <v>60</v>
      </c>
      <c r="B8" s="22" t="n">
        <f aca="false">SUMIFS(Parois!$J$5:$J$53,Parois!$K$5:$K$53,A8,Parois!$I$5:$I$53,"Oui")</f>
        <v>1488.272</v>
      </c>
      <c r="C8" s="22" t="n">
        <f aca="false">SUMIF(Zones!$L$5:$L$19,A8,Zones!$N$5:$N$19)</f>
        <v>1145.5472</v>
      </c>
      <c r="D8" s="22" t="n">
        <f aca="false">B8+C8</f>
        <v>2633.8192</v>
      </c>
      <c r="E8" s="22" t="n">
        <f aca="false">D8*(1+Hypothèses!$B$9)</f>
        <v>2765.51016</v>
      </c>
      <c r="F8" s="34" t="n">
        <f aca="false">Hypothèses!C25</f>
        <v>250</v>
      </c>
      <c r="G8" s="24" t="n">
        <f aca="false">E8*F8</f>
        <v>691377.54</v>
      </c>
    </row>
    <row r="9" customFormat="false" ht="15" hidden="false" customHeight="false" outlineLevel="0" collapsed="false">
      <c r="A9" s="28" t="s">
        <v>134</v>
      </c>
      <c r="B9" s="29" t="n">
        <f aca="false">SUM(B5:B8)</f>
        <v>2490.232</v>
      </c>
      <c r="C9" s="29" t="n">
        <f aca="false">SUM(C5:C8)</f>
        <v>1692.9472</v>
      </c>
      <c r="D9" s="29" t="n">
        <f aca="false">SUM(D5:D8)</f>
        <v>4183.1792</v>
      </c>
      <c r="E9" s="29" t="n">
        <f aca="false">SUM(E5:E8)</f>
        <v>4392.33816</v>
      </c>
      <c r="G9" s="30" t="n">
        <f aca="false">SUM(G5:G8)</f>
        <v>1265936.385</v>
      </c>
    </row>
    <row r="10" customFormat="false" ht="15" hidden="false" customHeight="false" outlineLevel="0" collapsed="false">
      <c r="A10" s="20" t="s">
        <v>310</v>
      </c>
      <c r="G10" s="24" t="n">
        <f aca="false">G9*Hypothèses!$B$10</f>
        <v>189890.45775</v>
      </c>
    </row>
    <row r="12" customFormat="false" ht="45" hidden="false" customHeight="true" outlineLevel="0" collapsed="false">
      <c r="A12" s="19" t="s">
        <v>311</v>
      </c>
      <c r="B12" s="19" t="s">
        <v>312</v>
      </c>
      <c r="C12" s="19" t="s">
        <v>53</v>
      </c>
      <c r="D12" s="19" t="s">
        <v>313</v>
      </c>
    </row>
    <row r="13" customFormat="false" ht="15" hidden="false" customHeight="false" outlineLevel="0" collapsed="false">
      <c r="A13" s="16" t="str">
        <f aca="false">Hypothèses!A30</f>
        <v>Porte double</v>
      </c>
      <c r="B13" s="18" t="n">
        <f aca="false">COUNTIF(Portes!$E$5:$E$33,A13)</f>
        <v>16</v>
      </c>
      <c r="C13" s="34" t="n">
        <f aca="false">Hypothèses!C30</f>
        <v>18000</v>
      </c>
      <c r="D13" s="24" t="n">
        <f aca="false">B13*C13</f>
        <v>288000</v>
      </c>
    </row>
    <row r="14" customFormat="false" ht="15" hidden="false" customHeight="false" outlineLevel="0" collapsed="false">
      <c r="A14" s="16" t="str">
        <f aca="false">Hypothèses!A31</f>
        <v>Porte simple</v>
      </c>
      <c r="B14" s="18" t="n">
        <f aca="false">COUNTIF(Portes!$E$5:$E$33,A14)</f>
        <v>6</v>
      </c>
      <c r="C14" s="34" t="n">
        <f aca="false">Hypothèses!C31</f>
        <v>9000</v>
      </c>
      <c r="D14" s="24" t="n">
        <f aca="false">B14*C14</f>
        <v>54000</v>
      </c>
    </row>
    <row r="15" customFormat="false" ht="15" hidden="false" customHeight="false" outlineLevel="0" collapsed="false">
      <c r="A15" s="16" t="str">
        <f aca="false">Hypothèses!A32</f>
        <v>Porte sectionnelle (quai)</v>
      </c>
      <c r="B15" s="18" t="n">
        <f aca="false">COUNTIF(Portes!$E$5:$E$33,A15)</f>
        <v>1</v>
      </c>
      <c r="C15" s="34" t="n">
        <f aca="false">Hypothèses!C32</f>
        <v>45000</v>
      </c>
      <c r="D15" s="24" t="n">
        <f aca="false">B15*C15</f>
        <v>45000</v>
      </c>
    </row>
    <row r="16" customFormat="false" ht="15" hidden="false" customHeight="false" outlineLevel="0" collapsed="false">
      <c r="A16" s="16" t="str">
        <f aca="false">Hypothèses!A33</f>
        <v>Porte rapide</v>
      </c>
      <c r="B16" s="18" t="n">
        <f aca="false">COUNTIF(Portes!$E$5:$E$33,A16)</f>
        <v>1</v>
      </c>
      <c r="C16" s="34" t="n">
        <f aca="false">Hypothèses!C33</f>
        <v>35000</v>
      </c>
      <c r="D16" s="24" t="n">
        <f aca="false">B16*C16</f>
        <v>35000</v>
      </c>
    </row>
    <row r="17" customFormat="false" ht="15" hidden="false" customHeight="false" outlineLevel="0" collapsed="false">
      <c r="A17" s="16" t="str">
        <f aca="false">Hypothèses!A34</f>
        <v>Passage tunnel</v>
      </c>
      <c r="B17" s="18" t="n">
        <f aca="false">COUNTIF(Portes!$E$5:$E$33,A17)</f>
        <v>1</v>
      </c>
      <c r="C17" s="34" t="n">
        <f aca="false">Hypothèses!C34</f>
        <v>0</v>
      </c>
      <c r="D17" s="24" t="n">
        <f aca="false">B17*C17</f>
        <v>0</v>
      </c>
    </row>
    <row r="18" customFormat="false" ht="15" hidden="false" customHeight="false" outlineLevel="0" collapsed="false">
      <c r="A18" s="16" t="str">
        <f aca="false">Hypothèses!A35</f>
        <v>Traversée autoclave</v>
      </c>
      <c r="B18" s="18" t="n">
        <f aca="false">COUNTIF(Portes!$E$5:$E$33,A18)</f>
        <v>2</v>
      </c>
      <c r="C18" s="34" t="n">
        <f aca="false">Hypothèses!C35</f>
        <v>0</v>
      </c>
      <c r="D18" s="24" t="n">
        <f aca="false">B18*C18</f>
        <v>0</v>
      </c>
    </row>
    <row r="19" customFormat="false" ht="15" hidden="false" customHeight="false" outlineLevel="0" collapsed="false">
      <c r="A19" s="16" t="str">
        <f aca="false">Hypothèses!A36</f>
        <v>Passage convoyeur</v>
      </c>
      <c r="B19" s="18" t="n">
        <f aca="false">COUNTIF(Portes!$E$5:$E$33,A19)</f>
        <v>2</v>
      </c>
      <c r="C19" s="34" t="n">
        <f aca="false">Hypothèses!C36</f>
        <v>0</v>
      </c>
      <c r="D19" s="24" t="n">
        <f aca="false">B19*C19</f>
        <v>0</v>
      </c>
    </row>
    <row r="20" customFormat="false" ht="15" hidden="false" customHeight="false" outlineLevel="0" collapsed="false">
      <c r="A20" s="28" t="s">
        <v>314</v>
      </c>
      <c r="D20" s="30" t="n">
        <f aca="false">SUM(D13:D19)</f>
        <v>422000</v>
      </c>
    </row>
    <row r="22" customFormat="false" ht="15" hidden="false" customHeight="false" outlineLevel="0" collapsed="false">
      <c r="A22" s="28" t="s">
        <v>315</v>
      </c>
      <c r="B22" s="28"/>
      <c r="C22" s="28"/>
      <c r="D22" s="28"/>
      <c r="E22" s="28"/>
      <c r="F22" s="28"/>
      <c r="G22" s="30" t="n">
        <f aca="false">G9+G10+D20</f>
        <v>1877826.84275</v>
      </c>
    </row>
  </sheetData>
  <mergeCells count="1"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28" min="3" style="0" width="10"/>
    <col collapsed="false" customWidth="true" hidden="false" outlineLevel="0" max="29" min="29" style="0" width="14"/>
  </cols>
  <sheetData>
    <row r="1" customFormat="false" ht="17.35" hidden="false" customHeight="false" outlineLevel="0" collapsed="false">
      <c r="A1" s="4" t="s">
        <v>316</v>
      </c>
    </row>
    <row r="2" customFormat="false" ht="15" hidden="false" customHeight="false" outlineLevel="0" collapsed="false">
      <c r="A2" s="8" t="s">
        <v>317</v>
      </c>
    </row>
    <row r="4" customFormat="false" ht="45" hidden="false" customHeight="true" outlineLevel="0" collapsed="false">
      <c r="A4" s="19" t="s">
        <v>63</v>
      </c>
      <c r="B4" s="19" t="s">
        <v>75</v>
      </c>
      <c r="C4" s="19" t="s">
        <v>318</v>
      </c>
      <c r="D4" s="19" t="s">
        <v>319</v>
      </c>
      <c r="E4" s="19" t="s">
        <v>78</v>
      </c>
      <c r="F4" s="19" t="s">
        <v>81</v>
      </c>
      <c r="G4" s="19" t="s">
        <v>320</v>
      </c>
      <c r="H4" s="19" t="s">
        <v>321</v>
      </c>
      <c r="I4" s="19" t="s">
        <v>322</v>
      </c>
      <c r="J4" s="19" t="s">
        <v>323</v>
      </c>
      <c r="K4" s="19" t="s">
        <v>324</v>
      </c>
      <c r="L4" s="19" t="s">
        <v>325</v>
      </c>
      <c r="M4" s="19" t="s">
        <v>326</v>
      </c>
      <c r="N4" s="19" t="s">
        <v>327</v>
      </c>
      <c r="O4" s="19" t="s">
        <v>328</v>
      </c>
      <c r="P4" s="19" t="s">
        <v>329</v>
      </c>
      <c r="Q4" s="19" t="s">
        <v>330</v>
      </c>
      <c r="R4" s="19" t="s">
        <v>331</v>
      </c>
      <c r="S4" s="19" t="s">
        <v>332</v>
      </c>
      <c r="T4" s="19" t="s">
        <v>333</v>
      </c>
      <c r="U4" s="19" t="s">
        <v>334</v>
      </c>
      <c r="V4" s="19" t="s">
        <v>335</v>
      </c>
      <c r="W4" s="19" t="s">
        <v>336</v>
      </c>
      <c r="X4" s="19" t="s">
        <v>337</v>
      </c>
      <c r="Y4" s="19" t="s">
        <v>338</v>
      </c>
      <c r="Z4" s="19" t="s">
        <v>339</v>
      </c>
      <c r="AA4" s="19" t="s">
        <v>340</v>
      </c>
      <c r="AB4" s="19" t="s">
        <v>341</v>
      </c>
      <c r="AC4" s="19" t="s">
        <v>342</v>
      </c>
    </row>
    <row r="5" customFormat="false" ht="15" hidden="false" customHeight="false" outlineLevel="0" collapsed="false">
      <c r="A5" s="16" t="str">
        <f aca="false">Zones!A5</f>
        <v>Z1</v>
      </c>
      <c r="B5" s="16" t="str">
        <f aca="false">Zones!B5</f>
        <v>Salle d'emballage</v>
      </c>
      <c r="C5" s="16" t="str">
        <f aca="false">Zones!J5</f>
        <v>Non</v>
      </c>
      <c r="D5" s="17" t="n">
        <f aca="false">Zones!K5</f>
        <v>30</v>
      </c>
      <c r="E5" s="35" t="n">
        <f aca="false">Zones!E5</f>
        <v>289.1252</v>
      </c>
      <c r="F5" s="34" t="n">
        <f aca="false">Zones!H5</f>
        <v>1734.7512</v>
      </c>
      <c r="G5" s="24" t="n">
        <f aca="false">SUMIF(Parois!$B$5:$B$53,A5,Parois!$O$5:$O$53)+SUMIF(Parois!$C$5:$C$53,A5,Parois!$P$5:$P$53)</f>
        <v>797.94</v>
      </c>
      <c r="H5" s="24" t="n">
        <f aca="false">IF(Zones!L5&gt;0,Hypothèses!$B$4/(Zones!L5/1000),0)*Zones!N5*MAX(0,Hypothèses!$B$14-D5)</f>
        <v>1060.12573333333</v>
      </c>
      <c r="I5" s="24" t="n">
        <f aca="false">IF(D5&lt;0,Hypothèses!$B$6,Hypothèses!$B$7)*E5*MAX(0,Hypothèses!$B$15-D5)</f>
        <v>0</v>
      </c>
      <c r="J5" s="36" t="n">
        <v>0</v>
      </c>
      <c r="K5" s="10" t="n">
        <v>0</v>
      </c>
      <c r="L5" s="24" t="n">
        <f aca="false">J5*F5*Hypothèses!$B$5*K5*1000/86400</f>
        <v>0</v>
      </c>
      <c r="M5" s="10" t="n">
        <v>0</v>
      </c>
      <c r="N5" s="10" t="n">
        <v>0</v>
      </c>
      <c r="O5" s="10" t="n">
        <v>0</v>
      </c>
      <c r="P5" s="24" t="n">
        <f aca="false">M5*N5*O5/24</f>
        <v>0</v>
      </c>
      <c r="Q5" s="10" t="n">
        <v>0</v>
      </c>
      <c r="R5" s="10" t="n">
        <v>0</v>
      </c>
      <c r="S5" s="24" t="n">
        <f aca="false">Q5*E5*R5/24</f>
        <v>0</v>
      </c>
      <c r="T5" s="12" t="n">
        <v>0</v>
      </c>
      <c r="U5" s="12" t="n">
        <v>0</v>
      </c>
      <c r="V5" s="10" t="n">
        <v>0</v>
      </c>
      <c r="W5" s="36" t="n">
        <v>0</v>
      </c>
      <c r="X5" s="10" t="n">
        <v>0</v>
      </c>
      <c r="Y5" s="10" t="n">
        <v>24</v>
      </c>
      <c r="Z5" s="24" t="n">
        <f aca="false">IF(Y5&gt;0,U5*(W5*MAX(0,V5-D5)+X5)*1000/(Y5*3600),0)</f>
        <v>0</v>
      </c>
      <c r="AA5" s="24" t="n">
        <f aca="false">G5+H5+I5+L5+P5+S5+T5+Z5</f>
        <v>1858.06573333333</v>
      </c>
      <c r="AB5" s="10" t="n">
        <v>18</v>
      </c>
      <c r="AC5" s="37" t="n">
        <f aca="false">IF(C5="Oui",AA5*(1+Hypothèses!$B$8)*24/AB5/1000,0)</f>
        <v>0</v>
      </c>
    </row>
    <row r="6" customFormat="false" ht="15" hidden="false" customHeight="false" outlineLevel="0" collapsed="false">
      <c r="A6" s="16" t="str">
        <f aca="false">Zones!A6</f>
        <v>Z2</v>
      </c>
      <c r="B6" s="16" t="str">
        <f aca="false">Zones!B6</f>
        <v>Zone de déchargement / refroidissement</v>
      </c>
      <c r="C6" s="16" t="str">
        <f aca="false">Zones!J6</f>
        <v>Non</v>
      </c>
      <c r="D6" s="17" t="n">
        <f aca="false">Zones!K6</f>
        <v>30</v>
      </c>
      <c r="E6" s="35" t="n">
        <f aca="false">Zones!E6</f>
        <v>170.856</v>
      </c>
      <c r="F6" s="34" t="n">
        <f aca="false">Zones!H6</f>
        <v>1025.136</v>
      </c>
      <c r="G6" s="24" t="n">
        <f aca="false">SUMIF(Parois!$B$5:$B$53,A6,Parois!$O$5:$O$53)+SUMIF(Parois!$C$5:$C$53,A6,Parois!$P$5:$P$53)</f>
        <v>368.731</v>
      </c>
      <c r="H6" s="24" t="n">
        <f aca="false">IF(Zones!L6&gt;0,Hypothèses!$B$4/(Zones!L6/1000),0)*Zones!N6*MAX(0,Hypothèses!$B$14-D6)</f>
        <v>626.472</v>
      </c>
      <c r="I6" s="24" t="n">
        <f aca="false">IF(D6&lt;0,Hypothèses!$B$6,Hypothèses!$B$7)*E6*MAX(0,Hypothèses!$B$15-D6)</f>
        <v>0</v>
      </c>
      <c r="J6" s="36" t="n">
        <v>0</v>
      </c>
      <c r="K6" s="10" t="n">
        <v>0</v>
      </c>
      <c r="L6" s="24" t="n">
        <f aca="false">J6*F6*Hypothèses!$B$5*K6*1000/86400</f>
        <v>0</v>
      </c>
      <c r="M6" s="10" t="n">
        <v>0</v>
      </c>
      <c r="N6" s="10" t="n">
        <v>0</v>
      </c>
      <c r="O6" s="10" t="n">
        <v>0</v>
      </c>
      <c r="P6" s="24" t="n">
        <f aca="false">M6*N6*O6/24</f>
        <v>0</v>
      </c>
      <c r="Q6" s="10" t="n">
        <v>0</v>
      </c>
      <c r="R6" s="10" t="n">
        <v>0</v>
      </c>
      <c r="S6" s="24" t="n">
        <f aca="false">Q6*E6*R6/24</f>
        <v>0</v>
      </c>
      <c r="T6" s="12" t="n">
        <v>0</v>
      </c>
      <c r="U6" s="12" t="n">
        <v>0</v>
      </c>
      <c r="V6" s="10" t="n">
        <v>0</v>
      </c>
      <c r="W6" s="36" t="n">
        <v>0</v>
      </c>
      <c r="X6" s="10" t="n">
        <v>0</v>
      </c>
      <c r="Y6" s="10" t="n">
        <v>24</v>
      </c>
      <c r="Z6" s="24" t="n">
        <f aca="false">IF(Y6&gt;0,U6*(W6*MAX(0,V6-D6)+X6)*1000/(Y6*3600),0)</f>
        <v>0</v>
      </c>
      <c r="AA6" s="24" t="n">
        <f aca="false">G6+H6+I6+L6+P6+S6+T6+Z6</f>
        <v>995.203</v>
      </c>
      <c r="AB6" s="10" t="n">
        <v>18</v>
      </c>
      <c r="AC6" s="37" t="n">
        <f aca="false">IF(C6="Oui",AA6*(1+Hypothèses!$B$8)*24/AB6/1000,0)</f>
        <v>0</v>
      </c>
    </row>
    <row r="7" customFormat="false" ht="15" hidden="false" customHeight="false" outlineLevel="0" collapsed="false">
      <c r="A7" s="16" t="str">
        <f aca="false">Zones!A7</f>
        <v>Z3</v>
      </c>
      <c r="B7" s="16" t="str">
        <f aca="false">Zones!B7</f>
        <v>Zone de stérilisation</v>
      </c>
      <c r="C7" s="16" t="str">
        <f aca="false">Zones!J7</f>
        <v>Non</v>
      </c>
      <c r="D7" s="17" t="n">
        <f aca="false">Zones!K7</f>
        <v>35</v>
      </c>
      <c r="E7" s="35" t="n">
        <f aca="false">Zones!E7</f>
        <v>148.482</v>
      </c>
      <c r="F7" s="34" t="n">
        <f aca="false">Zones!H7</f>
        <v>890.892</v>
      </c>
      <c r="G7" s="24" t="n">
        <f aca="false">SUMIF(Parois!$B$5:$B$53,A7,Parois!$O$5:$O$53)+SUMIF(Parois!$C$5:$C$53,A7,Parois!$P$5:$P$53)</f>
        <v>80.3</v>
      </c>
      <c r="H7" s="24" t="n">
        <f aca="false">IF(Zones!L7&gt;0,Hypothèses!$B$4/(Zones!L7/1000),0)*Zones!N7*MAX(0,Hypothèses!$B$14-D7)</f>
        <v>272.217</v>
      </c>
      <c r="I7" s="24" t="n">
        <f aca="false">IF(D7&lt;0,Hypothèses!$B$6,Hypothèses!$B$7)*E7*MAX(0,Hypothèses!$B$15-D7)</f>
        <v>0</v>
      </c>
      <c r="J7" s="36" t="n">
        <v>0</v>
      </c>
      <c r="K7" s="10" t="n">
        <v>0</v>
      </c>
      <c r="L7" s="24" t="n">
        <f aca="false">J7*F7*Hypothèses!$B$5*K7*1000/86400</f>
        <v>0</v>
      </c>
      <c r="M7" s="10" t="n">
        <v>0</v>
      </c>
      <c r="N7" s="10" t="n">
        <v>0</v>
      </c>
      <c r="O7" s="10" t="n">
        <v>0</v>
      </c>
      <c r="P7" s="24" t="n">
        <f aca="false">M7*N7*O7/24</f>
        <v>0</v>
      </c>
      <c r="Q7" s="10" t="n">
        <v>0</v>
      </c>
      <c r="R7" s="10" t="n">
        <v>0</v>
      </c>
      <c r="S7" s="24" t="n">
        <f aca="false">Q7*E7*R7/24</f>
        <v>0</v>
      </c>
      <c r="T7" s="12" t="n">
        <v>0</v>
      </c>
      <c r="U7" s="12" t="n">
        <v>0</v>
      </c>
      <c r="V7" s="10" t="n">
        <v>0</v>
      </c>
      <c r="W7" s="36" t="n">
        <v>0</v>
      </c>
      <c r="X7" s="10" t="n">
        <v>0</v>
      </c>
      <c r="Y7" s="10" t="n">
        <v>24</v>
      </c>
      <c r="Z7" s="24" t="n">
        <f aca="false">IF(Y7&gt;0,U7*(W7*MAX(0,V7-D7)+X7)*1000/(Y7*3600),0)</f>
        <v>0</v>
      </c>
      <c r="AA7" s="24" t="n">
        <f aca="false">G7+H7+I7+L7+P7+S7+T7+Z7</f>
        <v>352.517</v>
      </c>
      <c r="AB7" s="10" t="n">
        <v>18</v>
      </c>
      <c r="AC7" s="37" t="n">
        <f aca="false">IF(C7="Oui",AA7*(1+Hypothèses!$B$8)*24/AB7/1000,0)</f>
        <v>0</v>
      </c>
    </row>
    <row r="8" customFormat="false" ht="15" hidden="false" customHeight="false" outlineLevel="0" collapsed="false">
      <c r="A8" s="16" t="str">
        <f aca="false">Zones!A8</f>
        <v>Z4</v>
      </c>
      <c r="B8" s="16" t="str">
        <f aca="false">Zones!B8</f>
        <v>Zone de chargement paniers</v>
      </c>
      <c r="C8" s="16" t="str">
        <f aca="false">Zones!J8</f>
        <v>Non</v>
      </c>
      <c r="D8" s="17" t="n">
        <f aca="false">Zones!K8</f>
        <v>30</v>
      </c>
      <c r="E8" s="35" t="n">
        <f aca="false">Zones!E8</f>
        <v>111.87</v>
      </c>
      <c r="F8" s="34" t="n">
        <f aca="false">Zones!H8</f>
        <v>671.22</v>
      </c>
      <c r="G8" s="24" t="n">
        <f aca="false">SUMIF(Parois!$B$5:$B$53,A8,Parois!$O$5:$O$53)+SUMIF(Parois!$C$5:$C$53,A8,Parois!$P$5:$P$53)</f>
        <v>382.371</v>
      </c>
      <c r="H8" s="24" t="n">
        <f aca="false">IF(Zones!L8&gt;0,Hypothèses!$B$4/(Zones!L8/1000),0)*Zones!N8*MAX(0,Hypothèses!$B$14-D8)</f>
        <v>410.19</v>
      </c>
      <c r="I8" s="24" t="n">
        <f aca="false">IF(D8&lt;0,Hypothèses!$B$6,Hypothèses!$B$7)*E8*MAX(0,Hypothèses!$B$15-D8)</f>
        <v>0</v>
      </c>
      <c r="J8" s="36" t="n">
        <v>0</v>
      </c>
      <c r="K8" s="10" t="n">
        <v>0</v>
      </c>
      <c r="L8" s="24" t="n">
        <f aca="false">J8*F8*Hypothèses!$B$5*K8*1000/86400</f>
        <v>0</v>
      </c>
      <c r="M8" s="10" t="n">
        <v>0</v>
      </c>
      <c r="N8" s="10" t="n">
        <v>0</v>
      </c>
      <c r="O8" s="10" t="n">
        <v>0</v>
      </c>
      <c r="P8" s="24" t="n">
        <f aca="false">M8*N8*O8/24</f>
        <v>0</v>
      </c>
      <c r="Q8" s="10" t="n">
        <v>0</v>
      </c>
      <c r="R8" s="10" t="n">
        <v>0</v>
      </c>
      <c r="S8" s="24" t="n">
        <f aca="false">Q8*E8*R8/24</f>
        <v>0</v>
      </c>
      <c r="T8" s="12" t="n">
        <v>0</v>
      </c>
      <c r="U8" s="12" t="n">
        <v>0</v>
      </c>
      <c r="V8" s="10" t="n">
        <v>0</v>
      </c>
      <c r="W8" s="36" t="n">
        <v>0</v>
      </c>
      <c r="X8" s="10" t="n">
        <v>0</v>
      </c>
      <c r="Y8" s="10" t="n">
        <v>24</v>
      </c>
      <c r="Z8" s="24" t="n">
        <f aca="false">IF(Y8&gt;0,U8*(W8*MAX(0,V8-D8)+X8)*1000/(Y8*3600),0)</f>
        <v>0</v>
      </c>
      <c r="AA8" s="24" t="n">
        <f aca="false">G8+H8+I8+L8+P8+S8+T8+Z8</f>
        <v>792.561</v>
      </c>
      <c r="AB8" s="10" t="n">
        <v>18</v>
      </c>
      <c r="AC8" s="37" t="n">
        <f aca="false">IF(C8="Oui",AA8*(1+Hypothèses!$B$8)*24/AB8/1000,0)</f>
        <v>0</v>
      </c>
    </row>
    <row r="9" customFormat="false" ht="15" hidden="false" customHeight="false" outlineLevel="0" collapsed="false">
      <c r="A9" s="16" t="str">
        <f aca="false">Zones!A9</f>
        <v>Z5</v>
      </c>
      <c r="B9" s="16" t="str">
        <f aca="false">Zones!B9</f>
        <v>Zone de sertissage / conditionnement</v>
      </c>
      <c r="C9" s="16" t="str">
        <f aca="false">Zones!J9</f>
        <v>Non</v>
      </c>
      <c r="D9" s="17" t="n">
        <f aca="false">Zones!K9</f>
        <v>30</v>
      </c>
      <c r="E9" s="35" t="n">
        <f aca="false">Zones!E9</f>
        <v>192.45</v>
      </c>
      <c r="F9" s="34" t="n">
        <f aca="false">Zones!H9</f>
        <v>1154.7</v>
      </c>
      <c r="G9" s="24" t="n">
        <f aca="false">SUMIF(Parois!$B$5:$B$53,A9,Parois!$O$5:$O$53)+SUMIF(Parois!$C$5:$C$53,A9,Parois!$P$5:$P$53)</f>
        <v>183.443333333333</v>
      </c>
      <c r="H9" s="24" t="n">
        <f aca="false">IF(Zones!L9&gt;0,Hypothèses!$B$4/(Zones!L9/1000),0)*Zones!N9*MAX(0,Hypothèses!$B$14-D9)</f>
        <v>705.65</v>
      </c>
      <c r="I9" s="24" t="n">
        <f aca="false">IF(D9&lt;0,Hypothèses!$B$6,Hypothèses!$B$7)*E9*MAX(0,Hypothèses!$B$15-D9)</f>
        <v>0</v>
      </c>
      <c r="J9" s="36" t="n">
        <v>0</v>
      </c>
      <c r="K9" s="10" t="n">
        <v>0</v>
      </c>
      <c r="L9" s="24" t="n">
        <f aca="false">J9*F9*Hypothèses!$B$5*K9*1000/86400</f>
        <v>0</v>
      </c>
      <c r="M9" s="10" t="n">
        <v>0</v>
      </c>
      <c r="N9" s="10" t="n">
        <v>0</v>
      </c>
      <c r="O9" s="10" t="n">
        <v>0</v>
      </c>
      <c r="P9" s="24" t="n">
        <f aca="false">M9*N9*O9/24</f>
        <v>0</v>
      </c>
      <c r="Q9" s="10" t="n">
        <v>0</v>
      </c>
      <c r="R9" s="10" t="n">
        <v>0</v>
      </c>
      <c r="S9" s="24" t="n">
        <f aca="false">Q9*E9*R9/24</f>
        <v>0</v>
      </c>
      <c r="T9" s="12" t="n">
        <v>0</v>
      </c>
      <c r="U9" s="12" t="n">
        <v>0</v>
      </c>
      <c r="V9" s="10" t="n">
        <v>0</v>
      </c>
      <c r="W9" s="36" t="n">
        <v>0</v>
      </c>
      <c r="X9" s="10" t="n">
        <v>0</v>
      </c>
      <c r="Y9" s="10" t="n">
        <v>24</v>
      </c>
      <c r="Z9" s="24" t="n">
        <f aca="false">IF(Y9&gt;0,U9*(W9*MAX(0,V9-D9)+X9)*1000/(Y9*3600),0)</f>
        <v>0</v>
      </c>
      <c r="AA9" s="24" t="n">
        <f aca="false">G9+H9+I9+L9+P9+S9+T9+Z9</f>
        <v>889.093333333333</v>
      </c>
      <c r="AB9" s="10" t="n">
        <v>18</v>
      </c>
      <c r="AC9" s="37" t="n">
        <f aca="false">IF(C9="Oui",AA9*(1+Hypothèses!$B$8)*24/AB9/1000,0)</f>
        <v>0</v>
      </c>
    </row>
    <row r="10" customFormat="false" ht="15" hidden="false" customHeight="false" outlineLevel="0" collapsed="false">
      <c r="A10" s="16" t="str">
        <f aca="false">Zones!A10</f>
        <v>Z6</v>
      </c>
      <c r="B10" s="16" t="str">
        <f aca="false">Zones!B10</f>
        <v>Dépalettisation emballages vides</v>
      </c>
      <c r="C10" s="16" t="str">
        <f aca="false">Zones!J10</f>
        <v>Non</v>
      </c>
      <c r="D10" s="17" t="n">
        <f aca="false">Zones!K10</f>
        <v>30</v>
      </c>
      <c r="E10" s="35" t="n">
        <f aca="false">Zones!E10</f>
        <v>25.5</v>
      </c>
      <c r="F10" s="34" t="n">
        <f aca="false">Zones!H10</f>
        <v>153</v>
      </c>
      <c r="G10" s="24" t="n">
        <f aca="false">SUMIF(Parois!$B$5:$B$53,A10,Parois!$O$5:$O$53)+SUMIF(Parois!$C$5:$C$53,A10,Parois!$P$5:$P$53)</f>
        <v>0</v>
      </c>
      <c r="H10" s="24" t="n">
        <f aca="false">IF(Zones!L10&gt;0,Hypothèses!$B$4/(Zones!L10/1000),0)*Zones!N10*MAX(0,Hypothèses!$B$14-D10)</f>
        <v>93.5</v>
      </c>
      <c r="I10" s="24" t="n">
        <f aca="false">IF(D10&lt;0,Hypothèses!$B$6,Hypothèses!$B$7)*E10*MAX(0,Hypothèses!$B$15-D10)</f>
        <v>0</v>
      </c>
      <c r="J10" s="36" t="n">
        <v>0</v>
      </c>
      <c r="K10" s="10" t="n">
        <v>0</v>
      </c>
      <c r="L10" s="24" t="n">
        <f aca="false">J10*F10*Hypothèses!$B$5*K10*1000/86400</f>
        <v>0</v>
      </c>
      <c r="M10" s="10" t="n">
        <v>0</v>
      </c>
      <c r="N10" s="10" t="n">
        <v>0</v>
      </c>
      <c r="O10" s="10" t="n">
        <v>0</v>
      </c>
      <c r="P10" s="24" t="n">
        <f aca="false">M10*N10*O10/24</f>
        <v>0</v>
      </c>
      <c r="Q10" s="10" t="n">
        <v>0</v>
      </c>
      <c r="R10" s="10" t="n">
        <v>0</v>
      </c>
      <c r="S10" s="24" t="n">
        <f aca="false">Q10*E10*R10/24</f>
        <v>0</v>
      </c>
      <c r="T10" s="12" t="n">
        <v>0</v>
      </c>
      <c r="U10" s="12" t="n">
        <v>0</v>
      </c>
      <c r="V10" s="10" t="n">
        <v>0</v>
      </c>
      <c r="W10" s="36" t="n">
        <v>0</v>
      </c>
      <c r="X10" s="10" t="n">
        <v>0</v>
      </c>
      <c r="Y10" s="10" t="n">
        <v>24</v>
      </c>
      <c r="Z10" s="24" t="n">
        <f aca="false">IF(Y10&gt;0,U10*(W10*MAX(0,V10-D10)+X10)*1000/(Y10*3600),0)</f>
        <v>0</v>
      </c>
      <c r="AA10" s="24" t="n">
        <f aca="false">G10+H10+I10+L10+P10+S10+T10+Z10</f>
        <v>93.5</v>
      </c>
      <c r="AB10" s="10" t="n">
        <v>18</v>
      </c>
      <c r="AC10" s="37" t="n">
        <f aca="false">IF(C10="Oui",AA10*(1+Hypothèses!$B$8)*24/AB10/1000,0)</f>
        <v>0</v>
      </c>
    </row>
    <row r="11" customFormat="false" ht="15" hidden="false" customHeight="false" outlineLevel="0" collapsed="false">
      <c r="A11" s="16" t="str">
        <f aca="false">Zones!A11</f>
        <v>Z7</v>
      </c>
      <c r="B11" s="16" t="str">
        <f aca="false">Zones!B11</f>
        <v>Hygiène zone cuite</v>
      </c>
      <c r="C11" s="16" t="str">
        <f aca="false">Zones!J11</f>
        <v>Non</v>
      </c>
      <c r="D11" s="17" t="n">
        <f aca="false">Zones!K11</f>
        <v>30</v>
      </c>
      <c r="E11" s="35" t="n">
        <f aca="false">Zones!E11</f>
        <v>8.4</v>
      </c>
      <c r="F11" s="34" t="n">
        <f aca="false">Zones!H11</f>
        <v>50.4</v>
      </c>
      <c r="G11" s="24" t="n">
        <f aca="false">SUMIF(Parois!$B$5:$B$53,A11,Parois!$O$5:$O$53)+SUMIF(Parois!$C$5:$C$53,A11,Parois!$P$5:$P$53)</f>
        <v>0</v>
      </c>
      <c r="H11" s="24" t="n">
        <f aca="false">IF(Zones!L11&gt;0,Hypothèses!$B$4/(Zones!L11/1000),0)*Zones!N11*MAX(0,Hypothèses!$B$14-D11)</f>
        <v>30.8</v>
      </c>
      <c r="I11" s="24" t="n">
        <f aca="false">IF(D11&lt;0,Hypothèses!$B$6,Hypothèses!$B$7)*E11*MAX(0,Hypothèses!$B$15-D11)</f>
        <v>0</v>
      </c>
      <c r="J11" s="36" t="n">
        <v>0</v>
      </c>
      <c r="K11" s="10" t="n">
        <v>0</v>
      </c>
      <c r="L11" s="24" t="n">
        <f aca="false">J11*F11*Hypothèses!$B$5*K11*1000/86400</f>
        <v>0</v>
      </c>
      <c r="M11" s="10" t="n">
        <v>0</v>
      </c>
      <c r="N11" s="10" t="n">
        <v>0</v>
      </c>
      <c r="O11" s="10" t="n">
        <v>0</v>
      </c>
      <c r="P11" s="24" t="n">
        <f aca="false">M11*N11*O11/24</f>
        <v>0</v>
      </c>
      <c r="Q11" s="10" t="n">
        <v>0</v>
      </c>
      <c r="R11" s="10" t="n">
        <v>0</v>
      </c>
      <c r="S11" s="24" t="n">
        <f aca="false">Q11*E11*R11/24</f>
        <v>0</v>
      </c>
      <c r="T11" s="12" t="n">
        <v>0</v>
      </c>
      <c r="U11" s="12" t="n">
        <v>0</v>
      </c>
      <c r="V11" s="10" t="n">
        <v>0</v>
      </c>
      <c r="W11" s="36" t="n">
        <v>0</v>
      </c>
      <c r="X11" s="10" t="n">
        <v>0</v>
      </c>
      <c r="Y11" s="10" t="n">
        <v>24</v>
      </c>
      <c r="Z11" s="24" t="n">
        <f aca="false">IF(Y11&gt;0,U11*(W11*MAX(0,V11-D11)+X11)*1000/(Y11*3600),0)</f>
        <v>0</v>
      </c>
      <c r="AA11" s="24" t="n">
        <f aca="false">G11+H11+I11+L11+P11+S11+T11+Z11</f>
        <v>30.8</v>
      </c>
      <c r="AB11" s="10" t="n">
        <v>18</v>
      </c>
      <c r="AC11" s="37" t="n">
        <f aca="false">IF(C11="Oui",AA11*(1+Hypothèses!$B$8)*24/AB11/1000,0)</f>
        <v>0</v>
      </c>
    </row>
    <row r="12" customFormat="false" ht="15" hidden="false" customHeight="false" outlineLevel="0" collapsed="false">
      <c r="A12" s="16" t="str">
        <f aca="false">Zones!A12</f>
        <v>Z8</v>
      </c>
      <c r="B12" s="16" t="str">
        <f aca="false">Zones!B12</f>
        <v>Zone de cuisson / extrusion (ligne JBT)</v>
      </c>
      <c r="C12" s="16" t="str">
        <f aca="false">Zones!J12</f>
        <v>Non</v>
      </c>
      <c r="D12" s="17" t="n">
        <f aca="false">Zones!K12</f>
        <v>35</v>
      </c>
      <c r="E12" s="35" t="n">
        <f aca="false">Zones!E12</f>
        <v>121.792</v>
      </c>
      <c r="F12" s="34" t="n">
        <f aca="false">Zones!H12</f>
        <v>730.752</v>
      </c>
      <c r="G12" s="24" t="n">
        <f aca="false">SUMIF(Parois!$B$5:$B$53,A12,Parois!$O$5:$O$53)+SUMIF(Parois!$C$5:$C$53,A12,Parois!$P$5:$P$53)</f>
        <v>190.3</v>
      </c>
      <c r="H12" s="24" t="n">
        <f aca="false">IF(Zones!L12&gt;0,Hypothèses!$B$4/(Zones!L12/1000),0)*Zones!N12*MAX(0,Hypothèses!$B$14-D12)</f>
        <v>223.285333333333</v>
      </c>
      <c r="I12" s="24" t="n">
        <f aca="false">IF(D12&lt;0,Hypothèses!$B$6,Hypothèses!$B$7)*E12*MAX(0,Hypothèses!$B$15-D12)</f>
        <v>0</v>
      </c>
      <c r="J12" s="36" t="n">
        <v>0</v>
      </c>
      <c r="K12" s="10" t="n">
        <v>0</v>
      </c>
      <c r="L12" s="24" t="n">
        <f aca="false">J12*F12*Hypothèses!$B$5*K12*1000/86400</f>
        <v>0</v>
      </c>
      <c r="M12" s="10" t="n">
        <v>0</v>
      </c>
      <c r="N12" s="10" t="n">
        <v>0</v>
      </c>
      <c r="O12" s="10" t="n">
        <v>0</v>
      </c>
      <c r="P12" s="24" t="n">
        <f aca="false">M12*N12*O12/24</f>
        <v>0</v>
      </c>
      <c r="Q12" s="10" t="n">
        <v>0</v>
      </c>
      <c r="R12" s="10" t="n">
        <v>0</v>
      </c>
      <c r="S12" s="24" t="n">
        <f aca="false">Q12*E12*R12/24</f>
        <v>0</v>
      </c>
      <c r="T12" s="12" t="n">
        <v>0</v>
      </c>
      <c r="U12" s="12" t="n">
        <v>0</v>
      </c>
      <c r="V12" s="10" t="n">
        <v>0</v>
      </c>
      <c r="W12" s="36" t="n">
        <v>0</v>
      </c>
      <c r="X12" s="10" t="n">
        <v>0</v>
      </c>
      <c r="Y12" s="10" t="n">
        <v>24</v>
      </c>
      <c r="Z12" s="24" t="n">
        <f aca="false">IF(Y12&gt;0,U12*(W12*MAX(0,V12-D12)+X12)*1000/(Y12*3600),0)</f>
        <v>0</v>
      </c>
      <c r="AA12" s="24" t="n">
        <f aca="false">G12+H12+I12+L12+P12+S12+T12+Z12</f>
        <v>413.585333333333</v>
      </c>
      <c r="AB12" s="10" t="n">
        <v>18</v>
      </c>
      <c r="AC12" s="37" t="n">
        <f aca="false">IF(C12="Oui",AA12*(1+Hypothèses!$B$8)*24/AB12/1000,0)</f>
        <v>0</v>
      </c>
    </row>
    <row r="13" customFormat="false" ht="15" hidden="false" customHeight="false" outlineLevel="0" collapsed="false">
      <c r="A13" s="16" t="str">
        <f aca="false">Zones!A13</f>
        <v>Z9</v>
      </c>
      <c r="B13" s="16" t="str">
        <f aca="false">Zones!B13</f>
        <v>Salle de préparation viande</v>
      </c>
      <c r="C13" s="16" t="str">
        <f aca="false">Zones!J13</f>
        <v>Oui</v>
      </c>
      <c r="D13" s="17" t="n">
        <f aca="false">Zones!K13</f>
        <v>10</v>
      </c>
      <c r="E13" s="35" t="n">
        <f aca="false">Zones!E13</f>
        <v>183.57</v>
      </c>
      <c r="F13" s="34" t="n">
        <f aca="false">Zones!H13</f>
        <v>1101.42</v>
      </c>
      <c r="G13" s="24" t="n">
        <f aca="false">SUMIF(Parois!$B$5:$B$53,A13,Parois!$O$5:$O$53)+SUMIF(Parois!$C$5:$C$53,A13,Parois!$P$5:$P$53)</f>
        <v>2190.0175</v>
      </c>
      <c r="H13" s="24" t="n">
        <f aca="false">IF(Zones!L13&gt;0,Hypothèses!$B$4/(Zones!L13/1000),0)*Zones!N13*MAX(0,Hypothèses!$B$14-D13)</f>
        <v>1514.4525</v>
      </c>
      <c r="I13" s="24" t="n">
        <f aca="false">IF(D13&lt;0,Hypothèses!$B$6,Hypothèses!$B$7)*E13*MAX(0,Hypothèses!$B$15-D13)</f>
        <v>1101.42</v>
      </c>
      <c r="J13" s="36" t="n">
        <v>10</v>
      </c>
      <c r="K13" s="10" t="n">
        <v>45</v>
      </c>
      <c r="L13" s="24" t="n">
        <f aca="false">J13*F13*Hypothèses!$B$5*K13*1000/86400</f>
        <v>6883.875</v>
      </c>
      <c r="M13" s="10" t="n">
        <v>6</v>
      </c>
      <c r="N13" s="10" t="n">
        <v>210</v>
      </c>
      <c r="O13" s="10" t="n">
        <v>16</v>
      </c>
      <c r="P13" s="24" t="n">
        <f aca="false">M13*N13*O13/24</f>
        <v>840</v>
      </c>
      <c r="Q13" s="10" t="n">
        <v>10</v>
      </c>
      <c r="R13" s="10" t="n">
        <v>16</v>
      </c>
      <c r="S13" s="24" t="n">
        <f aca="false">Q13*E13*R13/24</f>
        <v>1223.8</v>
      </c>
      <c r="T13" s="12" t="n">
        <v>2000</v>
      </c>
      <c r="U13" s="12" t="n">
        <v>0</v>
      </c>
      <c r="V13" s="10" t="n">
        <v>10</v>
      </c>
      <c r="W13" s="36" t="n">
        <v>3.2</v>
      </c>
      <c r="X13" s="10" t="n">
        <v>0</v>
      </c>
      <c r="Y13" s="10" t="n">
        <v>24</v>
      </c>
      <c r="Z13" s="24" t="n">
        <f aca="false">IF(Y13&gt;0,U13*(W13*MAX(0,V13-D13)+X13)*1000/(Y13*3600),0)</f>
        <v>0</v>
      </c>
      <c r="AA13" s="24" t="n">
        <f aca="false">G13+H13+I13+L13+P13+S13+T13+Z13</f>
        <v>15753.565</v>
      </c>
      <c r="AB13" s="10" t="n">
        <v>18</v>
      </c>
      <c r="AC13" s="37" t="n">
        <f aca="false">IF(C13="Oui",AA13*(1+Hypothèses!$B$8)*24/AB13/1000,0)</f>
        <v>25.205704</v>
      </c>
    </row>
    <row r="14" customFormat="false" ht="15" hidden="false" customHeight="false" outlineLevel="0" collapsed="false">
      <c r="A14" s="16" t="str">
        <f aca="false">Zones!A14</f>
        <v>Z10</v>
      </c>
      <c r="B14" s="16" t="str">
        <f aca="false">Zones!B14</f>
        <v>Hygiène zone crue</v>
      </c>
      <c r="C14" s="16" t="str">
        <f aca="false">Zones!J14</f>
        <v>Non</v>
      </c>
      <c r="D14" s="17" t="n">
        <f aca="false">Zones!K14</f>
        <v>20</v>
      </c>
      <c r="E14" s="35" t="n">
        <f aca="false">Zones!E14</f>
        <v>8.64</v>
      </c>
      <c r="F14" s="34" t="n">
        <f aca="false">Zones!H14</f>
        <v>51.84</v>
      </c>
      <c r="G14" s="24" t="n">
        <f aca="false">SUMIF(Parois!$B$5:$B$53,A14,Parois!$O$5:$O$53)+SUMIF(Parois!$C$5:$C$53,A14,Parois!$P$5:$P$53)</f>
        <v>72.27</v>
      </c>
      <c r="H14" s="24" t="n">
        <f aca="false">IF(Zones!L14&gt;0,Hypothèses!$B$4/(Zones!L14/1000),0)*Zones!N14*MAX(0,Hypothèses!$B$14-D14)</f>
        <v>63.36</v>
      </c>
      <c r="I14" s="24" t="n">
        <f aca="false">IF(D14&lt;0,Hypothèses!$B$6,Hypothèses!$B$7)*E14*MAX(0,Hypothèses!$B$15-D14)</f>
        <v>0</v>
      </c>
      <c r="J14" s="36" t="n">
        <v>0</v>
      </c>
      <c r="K14" s="10" t="n">
        <v>0</v>
      </c>
      <c r="L14" s="24" t="n">
        <f aca="false">J14*F14*Hypothèses!$B$5*K14*1000/86400</f>
        <v>0</v>
      </c>
      <c r="M14" s="10" t="n">
        <v>0</v>
      </c>
      <c r="N14" s="10" t="n">
        <v>0</v>
      </c>
      <c r="O14" s="10" t="n">
        <v>0</v>
      </c>
      <c r="P14" s="24" t="n">
        <f aca="false">M14*N14*O14/24</f>
        <v>0</v>
      </c>
      <c r="Q14" s="10" t="n">
        <v>0</v>
      </c>
      <c r="R14" s="10" t="n">
        <v>0</v>
      </c>
      <c r="S14" s="24" t="n">
        <f aca="false">Q14*E14*R14/24</f>
        <v>0</v>
      </c>
      <c r="T14" s="12" t="n">
        <v>0</v>
      </c>
      <c r="U14" s="12" t="n">
        <v>0</v>
      </c>
      <c r="V14" s="10" t="n">
        <v>0</v>
      </c>
      <c r="W14" s="36" t="n">
        <v>0</v>
      </c>
      <c r="X14" s="10" t="n">
        <v>0</v>
      </c>
      <c r="Y14" s="10" t="n">
        <v>24</v>
      </c>
      <c r="Z14" s="24" t="n">
        <f aca="false">IF(Y14&gt;0,U14*(W14*MAX(0,V14-D14)+X14)*1000/(Y14*3600),0)</f>
        <v>0</v>
      </c>
      <c r="AA14" s="24" t="n">
        <f aca="false">G14+H14+I14+L14+P14+S14+T14+Z14</f>
        <v>135.63</v>
      </c>
      <c r="AB14" s="10" t="n">
        <v>18</v>
      </c>
      <c r="AC14" s="37" t="n">
        <f aca="false">IF(C14="Oui",AA14*(1+Hypothèses!$B$8)*24/AB14/1000,0)</f>
        <v>0</v>
      </c>
    </row>
    <row r="15" customFormat="false" ht="15" hidden="false" customHeight="false" outlineLevel="0" collapsed="false">
      <c r="A15" s="16" t="str">
        <f aca="false">Zones!A15</f>
        <v>Z11</v>
      </c>
      <c r="B15" s="16" t="str">
        <f aca="false">Zones!B15</f>
        <v>Couloir</v>
      </c>
      <c r="C15" s="16" t="str">
        <f aca="false">Zones!J15</f>
        <v>Non</v>
      </c>
      <c r="D15" s="17" t="n">
        <f aca="false">Zones!K15</f>
        <v>30</v>
      </c>
      <c r="E15" s="35" t="n">
        <f aca="false">Zones!E15</f>
        <v>68.432</v>
      </c>
      <c r="F15" s="34" t="n">
        <f aca="false">Zones!H15</f>
        <v>410.592</v>
      </c>
      <c r="G15" s="24" t="n">
        <f aca="false">SUMIF(Parois!$B$5:$B$53,A15,Parois!$O$5:$O$53)+SUMIF(Parois!$C$5:$C$53,A15,Parois!$P$5:$P$53)</f>
        <v>123.2</v>
      </c>
      <c r="H15" s="24" t="n">
        <f aca="false">IF(Zones!L15&gt;0,Hypothèses!$B$4/(Zones!L15/1000),0)*Zones!N15*MAX(0,Hypothèses!$B$14-D15)</f>
        <v>250.917333333333</v>
      </c>
      <c r="I15" s="24" t="n">
        <f aca="false">IF(D15&lt;0,Hypothèses!$B$6,Hypothèses!$B$7)*E15*MAX(0,Hypothèses!$B$15-D15)</f>
        <v>0</v>
      </c>
      <c r="J15" s="36" t="n">
        <v>0</v>
      </c>
      <c r="K15" s="10" t="n">
        <v>0</v>
      </c>
      <c r="L15" s="24" t="n">
        <f aca="false">J15*F15*Hypothèses!$B$5*K15*1000/86400</f>
        <v>0</v>
      </c>
      <c r="M15" s="10" t="n">
        <v>0</v>
      </c>
      <c r="N15" s="10" t="n">
        <v>0</v>
      </c>
      <c r="O15" s="10" t="n">
        <v>0</v>
      </c>
      <c r="P15" s="24" t="n">
        <f aca="false">M15*N15*O15/24</f>
        <v>0</v>
      </c>
      <c r="Q15" s="10" t="n">
        <v>0</v>
      </c>
      <c r="R15" s="10" t="n">
        <v>0</v>
      </c>
      <c r="S15" s="24" t="n">
        <f aca="false">Q15*E15*R15/24</f>
        <v>0</v>
      </c>
      <c r="T15" s="12" t="n">
        <v>0</v>
      </c>
      <c r="U15" s="12" t="n">
        <v>0</v>
      </c>
      <c r="V15" s="10" t="n">
        <v>0</v>
      </c>
      <c r="W15" s="36" t="n">
        <v>0</v>
      </c>
      <c r="X15" s="10" t="n">
        <v>0</v>
      </c>
      <c r="Y15" s="10" t="n">
        <v>24</v>
      </c>
      <c r="Z15" s="24" t="n">
        <f aca="false">IF(Y15&gt;0,U15*(W15*MAX(0,V15-D15)+X15)*1000/(Y15*3600),0)</f>
        <v>0</v>
      </c>
      <c r="AA15" s="24" t="n">
        <f aca="false">G15+H15+I15+L15+P15+S15+T15+Z15</f>
        <v>374.117333333333</v>
      </c>
      <c r="AB15" s="10" t="n">
        <v>18</v>
      </c>
      <c r="AC15" s="37" t="n">
        <f aca="false">IF(C15="Oui",AA15*(1+Hypothèses!$B$8)*24/AB15/1000,0)</f>
        <v>0</v>
      </c>
    </row>
    <row r="16" customFormat="false" ht="15" hidden="false" customHeight="false" outlineLevel="0" collapsed="false">
      <c r="A16" s="16" t="str">
        <f aca="false">Zones!A16</f>
        <v>Z12</v>
      </c>
      <c r="B16" s="16" t="str">
        <f aca="false">Zones!B16</f>
        <v>SAS quai réfrigéré</v>
      </c>
      <c r="C16" s="16" t="str">
        <f aca="false">Zones!J16</f>
        <v>Oui</v>
      </c>
      <c r="D16" s="17" t="n">
        <f aca="false">Zones!K16</f>
        <v>5</v>
      </c>
      <c r="E16" s="35" t="n">
        <f aca="false">Zones!E16</f>
        <v>44.06</v>
      </c>
      <c r="F16" s="34" t="n">
        <f aca="false">Zones!H16</f>
        <v>264.36</v>
      </c>
      <c r="G16" s="24" t="n">
        <f aca="false">SUMIF(Parois!$B$5:$B$53,A16,Parois!$O$5:$O$53)+SUMIF(Parois!$C$5:$C$53,A16,Parois!$P$5:$P$53)</f>
        <v>560.043</v>
      </c>
      <c r="H16" s="24" t="n">
        <f aca="false">IF(Zones!L16&gt;0,Hypothèses!$B$4/(Zones!L16/1000),0)*Zones!N16*MAX(0,Hypothèses!$B$14-D16)</f>
        <v>339.262</v>
      </c>
      <c r="I16" s="24" t="n">
        <f aca="false">IF(D16&lt;0,Hypothèses!$B$6,Hypothèses!$B$7)*E16*MAX(0,Hypothèses!$B$15-D16)</f>
        <v>396.54</v>
      </c>
      <c r="J16" s="36" t="n">
        <v>20</v>
      </c>
      <c r="K16" s="10" t="n">
        <v>60</v>
      </c>
      <c r="L16" s="24" t="n">
        <f aca="false">J16*F16*Hypothèses!$B$5*K16*1000/86400</f>
        <v>4406</v>
      </c>
      <c r="M16" s="10" t="n">
        <v>1</v>
      </c>
      <c r="N16" s="10" t="n">
        <v>270</v>
      </c>
      <c r="O16" s="10" t="n">
        <v>4</v>
      </c>
      <c r="P16" s="24" t="n">
        <f aca="false">M16*N16*O16/24</f>
        <v>45</v>
      </c>
      <c r="Q16" s="10" t="n">
        <v>8</v>
      </c>
      <c r="R16" s="10" t="n">
        <v>4</v>
      </c>
      <c r="S16" s="24" t="n">
        <f aca="false">Q16*E16*R16/24</f>
        <v>58.7466666666667</v>
      </c>
      <c r="T16" s="12" t="n">
        <v>0</v>
      </c>
      <c r="U16" s="12" t="n">
        <v>0</v>
      </c>
      <c r="V16" s="10" t="n">
        <v>5</v>
      </c>
      <c r="W16" s="36" t="n">
        <v>3.2</v>
      </c>
      <c r="X16" s="10" t="n">
        <v>0</v>
      </c>
      <c r="Y16" s="10" t="n">
        <v>24</v>
      </c>
      <c r="Z16" s="24" t="n">
        <f aca="false">IF(Y16&gt;0,U16*(W16*MAX(0,V16-D16)+X16)*1000/(Y16*3600),0)</f>
        <v>0</v>
      </c>
      <c r="AA16" s="24" t="n">
        <f aca="false">G16+H16+I16+L16+P16+S16+T16+Z16</f>
        <v>5805.59166666667</v>
      </c>
      <c r="AB16" s="10" t="n">
        <v>18</v>
      </c>
      <c r="AC16" s="37" t="n">
        <f aca="false">IF(C16="Oui",AA16*(1+Hypothèses!$B$8)*24/AB16/1000,0)</f>
        <v>9.28894666666666</v>
      </c>
    </row>
    <row r="17" customFormat="false" ht="15" hidden="false" customHeight="false" outlineLevel="0" collapsed="false">
      <c r="A17" s="16" t="str">
        <f aca="false">Zones!A17</f>
        <v>Z13</v>
      </c>
      <c r="B17" s="16" t="str">
        <f aca="false">Zones!B17</f>
        <v>Chambre négative</v>
      </c>
      <c r="C17" s="16" t="str">
        <f aca="false">Zones!J17</f>
        <v>Oui</v>
      </c>
      <c r="D17" s="17" t="n">
        <f aca="false">Zones!K17</f>
        <v>-20</v>
      </c>
      <c r="E17" s="35" t="n">
        <f aca="false">Zones!E17</f>
        <v>244.72</v>
      </c>
      <c r="F17" s="34" t="n">
        <f aca="false">Zones!H17</f>
        <v>1468.32</v>
      </c>
      <c r="G17" s="24" t="n">
        <f aca="false">SUMIF(Parois!$B$5:$B$53,A17,Parois!$O$5:$O$53)+SUMIF(Parois!$C$5:$C$53,A17,Parois!$P$5:$P$53)</f>
        <v>2219.5536</v>
      </c>
      <c r="H17" s="24" t="n">
        <f aca="false">IF(Zones!L17&gt;0,Hypothèses!$B$4/(Zones!L17/1000),0)*Zones!N17*MAX(0,Hypothèses!$B$14-D17)</f>
        <v>2153.536</v>
      </c>
      <c r="I17" s="24" t="n">
        <f aca="false">IF(D17&lt;0,Hypothèses!$B$6,Hypothèses!$B$7)*E17*MAX(0,Hypothèses!$B$15-D17)</f>
        <v>2447.2</v>
      </c>
      <c r="J17" s="36" t="n">
        <v>3</v>
      </c>
      <c r="K17" s="10" t="n">
        <v>90</v>
      </c>
      <c r="L17" s="24" t="n">
        <f aca="false">J17*F17*Hypothèses!$B$5*K17*1000/86400</f>
        <v>5506.2</v>
      </c>
      <c r="M17" s="10" t="n">
        <v>2</v>
      </c>
      <c r="N17" s="10" t="n">
        <v>390</v>
      </c>
      <c r="O17" s="10" t="n">
        <v>2</v>
      </c>
      <c r="P17" s="24" t="n">
        <f aca="false">M17*N17*O17/24</f>
        <v>65</v>
      </c>
      <c r="Q17" s="10" t="n">
        <v>8</v>
      </c>
      <c r="R17" s="10" t="n">
        <v>2</v>
      </c>
      <c r="S17" s="24" t="n">
        <f aca="false">Q17*E17*R17/24</f>
        <v>163.146666666667</v>
      </c>
      <c r="T17" s="12" t="n">
        <v>0</v>
      </c>
      <c r="U17" s="12" t="n">
        <v>10000</v>
      </c>
      <c r="V17" s="10" t="n">
        <v>-12</v>
      </c>
      <c r="W17" s="36" t="n">
        <v>1.7</v>
      </c>
      <c r="X17" s="10" t="n">
        <v>0</v>
      </c>
      <c r="Y17" s="10" t="n">
        <v>24</v>
      </c>
      <c r="Z17" s="24" t="n">
        <f aca="false">IF(Y17&gt;0,U17*(W17*MAX(0,V17-D17)+X17)*1000/(Y17*3600),0)</f>
        <v>1574.07407407407</v>
      </c>
      <c r="AA17" s="24" t="n">
        <f aca="false">G17+H17+I17+L17+P17+S17+T17+Z17</f>
        <v>14128.7103407407</v>
      </c>
      <c r="AB17" s="10" t="n">
        <v>20</v>
      </c>
      <c r="AC17" s="37" t="n">
        <f aca="false">IF(C17="Oui",AA17*(1+Hypothèses!$B$8)*24/AB17/1000,0)</f>
        <v>20.3453428906667</v>
      </c>
    </row>
    <row r="18" customFormat="false" ht="15" hidden="false" customHeight="false" outlineLevel="0" collapsed="false">
      <c r="A18" s="16" t="str">
        <f aca="false">Zones!A18</f>
        <v>Z14</v>
      </c>
      <c r="B18" s="16" t="str">
        <f aca="false">Zones!B18</f>
        <v>Chambre positive</v>
      </c>
      <c r="C18" s="16" t="str">
        <f aca="false">Zones!J18</f>
        <v>Oui</v>
      </c>
      <c r="D18" s="17" t="n">
        <f aca="false">Zones!K18</f>
        <v>2</v>
      </c>
      <c r="E18" s="35" t="n">
        <f aca="false">Zones!E18</f>
        <v>75.05</v>
      </c>
      <c r="F18" s="34" t="n">
        <f aca="false">Zones!H18</f>
        <v>450.3</v>
      </c>
      <c r="G18" s="24" t="n">
        <f aca="false">SUMIF(Parois!$B$5:$B$53,A18,Parois!$O$5:$O$53)+SUMIF(Parois!$C$5:$C$53,A18,Parois!$P$5:$P$53)</f>
        <v>1071.3912</v>
      </c>
      <c r="H18" s="24" t="n">
        <f aca="false">IF(Zones!L18&gt;0,Hypothèses!$B$4/(Zones!L18/1000),0)*Zones!N18*MAX(0,Hypothèses!$B$14-D18)</f>
        <v>627.418</v>
      </c>
      <c r="I18" s="24" t="n">
        <f aca="false">IF(D18&lt;0,Hypothèses!$B$6,Hypothèses!$B$7)*E18*MAX(0,Hypothèses!$B$15-D18)</f>
        <v>810.54</v>
      </c>
      <c r="J18" s="36" t="n">
        <v>4</v>
      </c>
      <c r="K18" s="10" t="n">
        <v>60</v>
      </c>
      <c r="L18" s="24" t="n">
        <f aca="false">J18*F18*Hypothèses!$B$5*K18*1000/86400</f>
        <v>1501</v>
      </c>
      <c r="M18" s="10" t="n">
        <v>2</v>
      </c>
      <c r="N18" s="10" t="n">
        <v>270</v>
      </c>
      <c r="O18" s="10" t="n">
        <v>4</v>
      </c>
      <c r="P18" s="24" t="n">
        <f aca="false">M18*N18*O18/24</f>
        <v>90</v>
      </c>
      <c r="Q18" s="10" t="n">
        <v>8</v>
      </c>
      <c r="R18" s="10" t="n">
        <v>4</v>
      </c>
      <c r="S18" s="24" t="n">
        <f aca="false">Q18*E18*R18/24</f>
        <v>100.066666666667</v>
      </c>
      <c r="T18" s="12" t="n">
        <v>0</v>
      </c>
      <c r="U18" s="12" t="n">
        <v>5000</v>
      </c>
      <c r="V18" s="10" t="n">
        <v>7</v>
      </c>
      <c r="W18" s="36" t="n">
        <v>3.2</v>
      </c>
      <c r="X18" s="10" t="n">
        <v>0</v>
      </c>
      <c r="Y18" s="10" t="n">
        <v>24</v>
      </c>
      <c r="Z18" s="24" t="n">
        <f aca="false">IF(Y18&gt;0,U18*(W18*MAX(0,V18-D18)+X18)*1000/(Y18*3600),0)</f>
        <v>925.925925925926</v>
      </c>
      <c r="AA18" s="24" t="n">
        <f aca="false">G18+H18+I18+L18+P18+S18+T18+Z18</f>
        <v>5126.34179259259</v>
      </c>
      <c r="AB18" s="10" t="n">
        <v>18</v>
      </c>
      <c r="AC18" s="37" t="n">
        <f aca="false">IF(C18="Oui",AA18*(1+Hypothèses!$B$8)*24/AB18/1000,0)</f>
        <v>8.20214686814815</v>
      </c>
    </row>
    <row r="19" customFormat="false" ht="15" hidden="false" customHeight="false" outlineLevel="0" collapsed="false">
      <c r="A19" s="16" t="str">
        <f aca="false">Zones!A19</f>
        <v>Z15</v>
      </c>
      <c r="B19" s="16" t="str">
        <f aca="false">Zones!B19</f>
        <v>Circulation Unité Humide (hors SAS)</v>
      </c>
      <c r="C19" s="16" t="str">
        <f aca="false">Zones!J19</f>
        <v>Non</v>
      </c>
      <c r="D19" s="17" t="n">
        <f aca="false">Zones!K19</f>
        <v>30</v>
      </c>
      <c r="E19" s="35" t="n">
        <f aca="false">Zones!E19</f>
        <v>192.8</v>
      </c>
      <c r="F19" s="34" t="n">
        <f aca="false">Zones!H19</f>
        <v>1156.8</v>
      </c>
      <c r="G19" s="24" t="n">
        <f aca="false">SUMIF(Parois!$B$5:$B$53,A19,Parois!$O$5:$O$53)+SUMIF(Parois!$C$5:$C$53,A19,Parois!$P$5:$P$53)</f>
        <v>76.45</v>
      </c>
      <c r="H19" s="24" t="n">
        <f aca="false">IF(Zones!L19&gt;0,Hypothèses!$B$4/(Zones!L19/1000),0)*Zones!N19*MAX(0,Hypothèses!$B$14-D19)</f>
        <v>0</v>
      </c>
      <c r="I19" s="24" t="n">
        <f aca="false">IF(D19&lt;0,Hypothèses!$B$6,Hypothèses!$B$7)*E19*MAX(0,Hypothèses!$B$15-D19)</f>
        <v>0</v>
      </c>
      <c r="J19" s="36" t="n">
        <v>0</v>
      </c>
      <c r="K19" s="10" t="n">
        <v>0</v>
      </c>
      <c r="L19" s="24" t="n">
        <f aca="false">J19*F19*Hypothèses!$B$5*K19*1000/86400</f>
        <v>0</v>
      </c>
      <c r="M19" s="10" t="n">
        <v>0</v>
      </c>
      <c r="N19" s="10" t="n">
        <v>0</v>
      </c>
      <c r="O19" s="10" t="n">
        <v>0</v>
      </c>
      <c r="P19" s="24" t="n">
        <f aca="false">M19*N19*O19/24</f>
        <v>0</v>
      </c>
      <c r="Q19" s="10" t="n">
        <v>0</v>
      </c>
      <c r="R19" s="10" t="n">
        <v>0</v>
      </c>
      <c r="S19" s="24" t="n">
        <f aca="false">Q19*E19*R19/24</f>
        <v>0</v>
      </c>
      <c r="T19" s="12" t="n">
        <v>0</v>
      </c>
      <c r="U19" s="12" t="n">
        <v>0</v>
      </c>
      <c r="V19" s="10" t="n">
        <v>0</v>
      </c>
      <c r="W19" s="36" t="n">
        <v>0</v>
      </c>
      <c r="X19" s="10" t="n">
        <v>0</v>
      </c>
      <c r="Y19" s="10" t="n">
        <v>24</v>
      </c>
      <c r="Z19" s="24" t="n">
        <f aca="false">IF(Y19&gt;0,U19*(W19*MAX(0,V19-D19)+X19)*1000/(Y19*3600),0)</f>
        <v>0</v>
      </c>
      <c r="AA19" s="24" t="n">
        <f aca="false">G19+H19+I19+L19+P19+S19+T19+Z19</f>
        <v>76.45</v>
      </c>
      <c r="AB19" s="10" t="n">
        <v>18</v>
      </c>
      <c r="AC19" s="37" t="n">
        <f aca="false">IF(C19="Oui",AA19*(1+Hypothèses!$B$8)*24/AB19/1000,0)</f>
        <v>0</v>
      </c>
    </row>
    <row r="20" customFormat="false" ht="15" hidden="false" customHeight="false" outlineLevel="0" collapsed="false">
      <c r="B20" s="28" t="s">
        <v>343</v>
      </c>
      <c r="AC20" s="38" t="n">
        <f aca="false">SUM(AC5:AC19)</f>
        <v>63.0421404254815</v>
      </c>
    </row>
    <row r="22" customFormat="false" ht="15" hidden="false" customHeight="false" outlineLevel="0" collapsed="false">
      <c r="B22" s="5" t="s">
        <v>344</v>
      </c>
    </row>
    <row r="23" customFormat="false" ht="15" hidden="false" customHeight="false" outlineLevel="0" collapsed="false">
      <c r="B23" s="39" t="s">
        <v>345</v>
      </c>
    </row>
    <row r="24" customFormat="false" ht="15" hidden="false" customHeight="false" outlineLevel="0" collapsed="false">
      <c r="B24" s="39" t="s">
        <v>346</v>
      </c>
    </row>
    <row r="25" customFormat="false" ht="15" hidden="false" customHeight="false" outlineLevel="0" collapsed="false">
      <c r="B25" s="39" t="s">
        <v>347</v>
      </c>
    </row>
    <row r="26" customFormat="false" ht="15" hidden="false" customHeight="false" outlineLevel="0" collapsed="false">
      <c r="B26" s="39" t="s">
        <v>348</v>
      </c>
    </row>
    <row r="27" customFormat="false" ht="15" hidden="false" customHeight="false" outlineLevel="0" collapsed="false">
      <c r="B27" s="39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9" min="4" style="0" width="12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9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4" t="s">
        <v>350</v>
      </c>
    </row>
    <row r="2" customFormat="false" ht="15" hidden="false" customHeight="false" outlineLevel="0" collapsed="false">
      <c r="A2" s="8" t="s">
        <v>351</v>
      </c>
    </row>
    <row r="4" customFormat="false" ht="45" hidden="false" customHeight="true" outlineLevel="0" collapsed="false">
      <c r="A4" s="19" t="s">
        <v>75</v>
      </c>
      <c r="B4" s="19" t="s">
        <v>352</v>
      </c>
      <c r="C4" s="19" t="s">
        <v>353</v>
      </c>
      <c r="D4" s="19" t="s">
        <v>354</v>
      </c>
      <c r="E4" s="19" t="s">
        <v>355</v>
      </c>
      <c r="F4" s="19" t="s">
        <v>356</v>
      </c>
      <c r="G4" s="19" t="s">
        <v>357</v>
      </c>
      <c r="H4" s="19" t="s">
        <v>358</v>
      </c>
      <c r="I4" s="19" t="s">
        <v>359</v>
      </c>
      <c r="J4" s="19" t="s">
        <v>360</v>
      </c>
      <c r="K4" s="19" t="s">
        <v>361</v>
      </c>
      <c r="L4" s="19" t="s">
        <v>362</v>
      </c>
      <c r="M4" s="19" t="s">
        <v>363</v>
      </c>
      <c r="N4" s="19" t="s">
        <v>364</v>
      </c>
    </row>
    <row r="5" customFormat="false" ht="26.85" hidden="false" customHeight="false" outlineLevel="0" collapsed="false">
      <c r="A5" s="14" t="s">
        <v>114</v>
      </c>
      <c r="B5" s="14" t="s">
        <v>365</v>
      </c>
      <c r="C5" s="40" t="n">
        <v>1</v>
      </c>
      <c r="D5" s="41" t="n">
        <v>4834</v>
      </c>
      <c r="E5" s="41" t="n">
        <v>5247</v>
      </c>
      <c r="F5" s="41" t="n">
        <v>3857</v>
      </c>
      <c r="G5" s="41"/>
      <c r="H5" s="42"/>
      <c r="I5" s="43" t="str">
        <f aca="false">IF(H5="","",C5*H5)</f>
        <v/>
      </c>
      <c r="J5" s="44"/>
      <c r="K5" s="44"/>
      <c r="L5" s="42"/>
      <c r="M5" s="26" t="s">
        <v>366</v>
      </c>
      <c r="N5" s="14" t="s">
        <v>367</v>
      </c>
    </row>
    <row r="6" customFormat="false" ht="15" hidden="false" customHeight="false" outlineLevel="0" collapsed="false">
      <c r="A6" s="14" t="s">
        <v>114</v>
      </c>
      <c r="B6" s="14" t="s">
        <v>368</v>
      </c>
      <c r="C6" s="40" t="n">
        <v>1</v>
      </c>
      <c r="D6" s="41" t="n">
        <v>1858</v>
      </c>
      <c r="E6" s="41" t="n">
        <v>5953</v>
      </c>
      <c r="F6" s="41" t="n">
        <v>3422</v>
      </c>
      <c r="G6" s="41"/>
      <c r="H6" s="42"/>
      <c r="I6" s="43" t="str">
        <f aca="false">IF(H6="","",C6*H6)</f>
        <v/>
      </c>
      <c r="J6" s="44"/>
      <c r="K6" s="44"/>
      <c r="L6" s="42"/>
      <c r="M6" s="26" t="s">
        <v>369</v>
      </c>
      <c r="N6" s="14" t="s">
        <v>370</v>
      </c>
    </row>
    <row r="7" customFormat="false" ht="15" hidden="false" customHeight="false" outlineLevel="0" collapsed="false">
      <c r="A7" s="14" t="s">
        <v>114</v>
      </c>
      <c r="B7" s="14" t="s">
        <v>371</v>
      </c>
      <c r="C7" s="40" t="n">
        <v>1</v>
      </c>
      <c r="D7" s="41" t="n">
        <v>2400</v>
      </c>
      <c r="E7" s="41" t="n">
        <v>500</v>
      </c>
      <c r="F7" s="41" t="n">
        <v>2100</v>
      </c>
      <c r="G7" s="41"/>
      <c r="H7" s="42"/>
      <c r="I7" s="43" t="str">
        <f aca="false">IF(H7="","",C7*H7)</f>
        <v/>
      </c>
      <c r="J7" s="44"/>
      <c r="K7" s="44"/>
      <c r="L7" s="42"/>
      <c r="M7" s="26"/>
      <c r="N7" s="14" t="s">
        <v>370</v>
      </c>
    </row>
    <row r="8" customFormat="false" ht="15" hidden="false" customHeight="false" outlineLevel="0" collapsed="false">
      <c r="A8" s="14" t="s">
        <v>114</v>
      </c>
      <c r="B8" s="14" t="s">
        <v>372</v>
      </c>
      <c r="C8" s="40" t="n">
        <v>1</v>
      </c>
      <c r="D8" s="41" t="n">
        <v>1800</v>
      </c>
      <c r="E8" s="41" t="n">
        <v>1800</v>
      </c>
      <c r="F8" s="41" t="n">
        <v>1850</v>
      </c>
      <c r="G8" s="41"/>
      <c r="H8" s="42"/>
      <c r="I8" s="43" t="str">
        <f aca="false">IF(H8="","",C8*H8)</f>
        <v/>
      </c>
      <c r="J8" s="44"/>
      <c r="K8" s="44"/>
      <c r="L8" s="42"/>
      <c r="M8" s="26" t="s">
        <v>373</v>
      </c>
      <c r="N8" s="14" t="s">
        <v>374</v>
      </c>
    </row>
    <row r="9" customFormat="false" ht="26.85" hidden="false" customHeight="false" outlineLevel="0" collapsed="false">
      <c r="A9" s="14" t="s">
        <v>375</v>
      </c>
      <c r="B9" s="14" t="s">
        <v>376</v>
      </c>
      <c r="C9" s="40" t="n">
        <v>1</v>
      </c>
      <c r="D9" s="41" t="n">
        <v>12547</v>
      </c>
      <c r="E9" s="41" t="n">
        <v>3056</v>
      </c>
      <c r="F9" s="41" t="n">
        <v>2719</v>
      </c>
      <c r="G9" s="41"/>
      <c r="H9" s="42"/>
      <c r="I9" s="43" t="str">
        <f aca="false">IF(H9="","",C9*H9)</f>
        <v/>
      </c>
      <c r="J9" s="44"/>
      <c r="K9" s="44" t="s">
        <v>377</v>
      </c>
      <c r="L9" s="42"/>
      <c r="M9" s="26" t="s">
        <v>378</v>
      </c>
      <c r="N9" s="14" t="s">
        <v>374</v>
      </c>
    </row>
    <row r="10" customFormat="false" ht="15" hidden="false" customHeight="false" outlineLevel="0" collapsed="false">
      <c r="A10" s="14" t="s">
        <v>111</v>
      </c>
      <c r="B10" s="14" t="s">
        <v>379</v>
      </c>
      <c r="C10" s="40" t="n">
        <v>1</v>
      </c>
      <c r="D10" s="41" t="n">
        <v>6000</v>
      </c>
      <c r="E10" s="41" t="n">
        <v>2500</v>
      </c>
      <c r="F10" s="41" t="n">
        <v>1340</v>
      </c>
      <c r="G10" s="41"/>
      <c r="H10" s="42"/>
      <c r="I10" s="43" t="str">
        <f aca="false">IF(H10="","",C10*H10)</f>
        <v/>
      </c>
      <c r="J10" s="44"/>
      <c r="K10" s="44"/>
      <c r="L10" s="42"/>
      <c r="M10" s="26" t="s">
        <v>380</v>
      </c>
      <c r="N10" s="14" t="s">
        <v>381</v>
      </c>
    </row>
    <row r="11" customFormat="false" ht="26.85" hidden="false" customHeight="false" outlineLevel="0" collapsed="false">
      <c r="A11" s="14" t="s">
        <v>101</v>
      </c>
      <c r="B11" s="14" t="s">
        <v>382</v>
      </c>
      <c r="C11" s="40" t="n">
        <v>1</v>
      </c>
      <c r="D11" s="41" t="n">
        <v>5350</v>
      </c>
      <c r="E11" s="41" t="n">
        <v>2880</v>
      </c>
      <c r="F11" s="41" t="n">
        <v>2466</v>
      </c>
      <c r="G11" s="41"/>
      <c r="H11" s="42" t="n">
        <v>20</v>
      </c>
      <c r="I11" s="43" t="n">
        <f aca="false">IF(H11="","",C11*H11)</f>
        <v>20</v>
      </c>
      <c r="J11" s="44" t="s">
        <v>383</v>
      </c>
      <c r="K11" s="44" t="s">
        <v>384</v>
      </c>
      <c r="L11" s="42"/>
      <c r="M11" s="26" t="s">
        <v>385</v>
      </c>
      <c r="N11" s="14" t="s">
        <v>386</v>
      </c>
    </row>
    <row r="12" customFormat="false" ht="26.85" hidden="false" customHeight="false" outlineLevel="0" collapsed="false">
      <c r="A12" s="14" t="s">
        <v>101</v>
      </c>
      <c r="B12" s="14" t="s">
        <v>387</v>
      </c>
      <c r="C12" s="40" t="n">
        <v>1</v>
      </c>
      <c r="D12" s="41" t="n">
        <v>2355</v>
      </c>
      <c r="E12" s="41" t="n">
        <v>1200</v>
      </c>
      <c r="F12" s="41" t="n">
        <v>2015</v>
      </c>
      <c r="G12" s="41" t="n">
        <v>1700</v>
      </c>
      <c r="H12" s="42" t="n">
        <v>5</v>
      </c>
      <c r="I12" s="43" t="n">
        <f aca="false">IF(H12="","",C12*H12)</f>
        <v>5</v>
      </c>
      <c r="J12" s="44" t="s">
        <v>388</v>
      </c>
      <c r="K12" s="44"/>
      <c r="L12" s="42" t="n">
        <v>82.9</v>
      </c>
      <c r="M12" s="26" t="s">
        <v>389</v>
      </c>
      <c r="N12" s="14" t="s">
        <v>390</v>
      </c>
    </row>
    <row r="13" customFormat="false" ht="52.2" hidden="false" customHeight="false" outlineLevel="0" collapsed="false">
      <c r="A13" s="14" t="s">
        <v>101</v>
      </c>
      <c r="B13" s="14" t="s">
        <v>391</v>
      </c>
      <c r="C13" s="40" t="n">
        <v>1</v>
      </c>
      <c r="D13" s="41" t="n">
        <v>5300</v>
      </c>
      <c r="E13" s="41" t="n">
        <v>2500</v>
      </c>
      <c r="F13" s="41"/>
      <c r="G13" s="41"/>
      <c r="H13" s="42" t="n">
        <v>8</v>
      </c>
      <c r="I13" s="43" t="n">
        <f aca="false">IF(H13="","",C13*H13)</f>
        <v>8</v>
      </c>
      <c r="J13" s="44" t="s">
        <v>392</v>
      </c>
      <c r="K13" s="44" t="s">
        <v>393</v>
      </c>
      <c r="L13" s="42"/>
      <c r="M13" s="26" t="s">
        <v>394</v>
      </c>
      <c r="N13" s="14" t="s">
        <v>395</v>
      </c>
    </row>
    <row r="14" customFormat="false" ht="26.85" hidden="false" customHeight="false" outlineLevel="0" collapsed="false">
      <c r="A14" s="14" t="s">
        <v>98</v>
      </c>
      <c r="B14" s="14" t="s">
        <v>396</v>
      </c>
      <c r="C14" s="40" t="n">
        <v>2</v>
      </c>
      <c r="D14" s="41" t="n">
        <v>1800</v>
      </c>
      <c r="E14" s="41" t="n">
        <v>1900</v>
      </c>
      <c r="F14" s="41"/>
      <c r="G14" s="41"/>
      <c r="H14" s="42"/>
      <c r="I14" s="43" t="str">
        <f aca="false">IF(H14="","",C14*H14)</f>
        <v/>
      </c>
      <c r="J14" s="44"/>
      <c r="K14" s="44"/>
      <c r="L14" s="42"/>
      <c r="M14" s="26" t="s">
        <v>397</v>
      </c>
      <c r="N14" s="14" t="s">
        <v>398</v>
      </c>
    </row>
    <row r="15" customFormat="false" ht="39.55" hidden="false" customHeight="false" outlineLevel="0" collapsed="false">
      <c r="A15" s="14" t="s">
        <v>95</v>
      </c>
      <c r="B15" s="14" t="s">
        <v>399</v>
      </c>
      <c r="C15" s="40" t="n">
        <v>6</v>
      </c>
      <c r="D15" s="41" t="n">
        <v>7225</v>
      </c>
      <c r="E15" s="41" t="n">
        <v>1650</v>
      </c>
      <c r="F15" s="41" t="n">
        <v>2052</v>
      </c>
      <c r="G15" s="41" t="n">
        <v>10350</v>
      </c>
      <c r="H15" s="42"/>
      <c r="I15" s="43" t="str">
        <f aca="false">IF(H15="","",C15*H15)</f>
        <v/>
      </c>
      <c r="J15" s="44" t="s">
        <v>400</v>
      </c>
      <c r="K15" s="44" t="s">
        <v>401</v>
      </c>
      <c r="L15" s="42"/>
      <c r="M15" s="26" t="s">
        <v>402</v>
      </c>
      <c r="N15" s="14" t="s">
        <v>403</v>
      </c>
    </row>
    <row r="16" customFormat="false" ht="15" hidden="false" customHeight="false" outlineLevel="0" collapsed="false">
      <c r="A16" s="14" t="s">
        <v>92</v>
      </c>
      <c r="B16" s="14" t="s">
        <v>404</v>
      </c>
      <c r="C16" s="40" t="n">
        <v>1</v>
      </c>
      <c r="D16" s="41" t="n">
        <v>1900</v>
      </c>
      <c r="E16" s="41" t="n">
        <v>1800</v>
      </c>
      <c r="F16" s="41"/>
      <c r="G16" s="41"/>
      <c r="H16" s="42"/>
      <c r="I16" s="43" t="str">
        <f aca="false">IF(H16="","",C16*H16)</f>
        <v/>
      </c>
      <c r="J16" s="44"/>
      <c r="K16" s="44"/>
      <c r="L16" s="42"/>
      <c r="M16" s="26" t="s">
        <v>405</v>
      </c>
      <c r="N16" s="14" t="s">
        <v>398</v>
      </c>
    </row>
    <row r="17" customFormat="false" ht="15" hidden="false" customHeight="false" outlineLevel="0" collapsed="false">
      <c r="B17" s="28" t="s">
        <v>406</v>
      </c>
      <c r="I17" s="45" t="n">
        <f aca="false">SUM(I5:I16)</f>
        <v>33</v>
      </c>
    </row>
    <row r="18" customFormat="false" ht="15" hidden="false" customHeight="false" outlineLevel="0" collapsed="false">
      <c r="B18" s="28" t="s">
        <v>407</v>
      </c>
      <c r="G18" s="30" t="n">
        <f aca="false">SUMPRODUCT(C5:C16,G5:G16)</f>
        <v>63800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2026-10-01T17:14:59Z</dcterms:created>
  <dc:creator>openpyxl</dc:creator>
  <dc:description/>
  <dc:language>en-US</dc:language>
  <cp:lastModifiedBy/>
  <dcterms:modified xsi:type="dcterms:W3CDTF">2026-10-01T17:14:59Z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