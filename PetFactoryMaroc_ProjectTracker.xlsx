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 Tracker" sheetId="1" state="visible" r:id="rId3"/>
    <sheet name="Dashboard" sheetId="2" state="visible" r:id="rId4"/>
    <sheet name="Gantt Chart" sheetId="3" state="visible" r:id="rId5"/>
  </sheets>
  <definedNames>
    <definedName function="false" hidden="false" localSheetId="2" name="_xlnm.Print_Titles" vbProcedure="false">'Gantt Chart'!$1:$2</definedName>
    <definedName function="false" hidden="false" localSheetId="0" name="_xlnm.Print_Titles" vbProcedure="false">'Task Tracker'!$1:$2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<sst xmlns="http://schemas.openxmlformats.org/spreadsheetml/2006/main" count="919" uniqueCount="190">
  <si>
    <t xml:space="preserve">🏭  PET FACTORY MAROC — Scope of Work Project Tracker</t>
  </si>
  <si>
    <t xml:space="preserve">#</t>
  </si>
  <si>
    <t xml:space="preserve">System</t>
  </si>
  <si>
    <t xml:space="preserve">Spec</t>
  </si>
  <si>
    <t xml:space="preserve">Phase / Task</t>
  </si>
  <si>
    <t xml:space="preserve">Sub-Task</t>
  </si>
  <si>
    <t xml:space="preserve">Owner</t>
  </si>
  <si>
    <t xml:space="preserve">Status</t>
  </si>
  <si>
    <t xml:space="preserve">Start</t>
  </si>
  <si>
    <t xml:space="preserve">End</t>
  </si>
  <si>
    <t xml:space="preserve">Weeks</t>
  </si>
  <si>
    <t xml:space="preserve">Notes</t>
  </si>
  <si>
    <t xml:space="preserve">  SYSTEM 1  ·  Boiler System  (6000 Kg/H)</t>
  </si>
  <si>
    <t xml:space="preserve">Boiler System</t>
  </si>
  <si>
    <t xml:space="preserve">6000 Kg/H</t>
  </si>
  <si>
    <t xml:space="preserve">Design &amp; Engineering</t>
  </si>
  <si>
    <t xml:space="preserve">Technical Specs Review</t>
  </si>
  <si>
    <t xml:space="preserve">Engineering</t>
  </si>
  <si>
    <t xml:space="preserve">Complete</t>
  </si>
  <si>
    <t xml:space="preserve">Verify steam output vs production demand</t>
  </si>
  <si>
    <t xml:space="preserve">P&amp;ID Drawing Approval</t>
  </si>
  <si>
    <t xml:space="preserve">FAMSUN to submit by May 31</t>
  </si>
  <si>
    <t xml:space="preserve">Procurement</t>
  </si>
  <si>
    <t xml:space="preserve">Vendor Finalization</t>
  </si>
  <si>
    <t xml:space="preserve">In Progress</t>
  </si>
  <si>
    <t xml:space="preserve">Purchase Order Issued</t>
  </si>
  <si>
    <t xml:space="preserve">Not Started</t>
  </si>
  <si>
    <t xml:space="preserve">Manufacturing &amp; QC</t>
  </si>
  <si>
    <t xml:space="preserve">Supplier</t>
  </si>
  <si>
    <t xml:space="preserve">Factory inspection at week 7</t>
  </si>
  <si>
    <t xml:space="preserve">Delivery &amp; Logistics</t>
  </si>
  <si>
    <t xml:space="preserve">Shipping / Sea Freight</t>
  </si>
  <si>
    <t xml:space="preserve">Logistics</t>
  </si>
  <si>
    <t xml:space="preserve">Customs Clearance</t>
  </si>
  <si>
    <t xml:space="preserve">Site Delivery</t>
  </si>
  <si>
    <t xml:space="preserve">Installation</t>
  </si>
  <si>
    <t xml:space="preserve">Civil &amp; Foundation Prep</t>
  </si>
  <si>
    <t xml:space="preserve">Civil Contractor</t>
  </si>
  <si>
    <t xml:space="preserve">Equipment Installation</t>
  </si>
  <si>
    <t xml:space="preserve">Install Team</t>
  </si>
  <si>
    <t xml:space="preserve">Piping &amp; Connections</t>
  </si>
  <si>
    <t xml:space="preserve">Testing &amp; Commissioning</t>
  </si>
  <si>
    <t xml:space="preserve">Factory Acceptance Test</t>
  </si>
  <si>
    <t xml:space="preserve">At supplier factory</t>
  </si>
  <si>
    <t xml:space="preserve">Site Acceptance Test</t>
  </si>
  <si>
    <t xml:space="preserve">Performance Verification</t>
  </si>
  <si>
    <t xml:space="preserve">Confirm 6000 Kg/H output</t>
  </si>
  <si>
    <t xml:space="preserve">  SYSTEM 2  ·  Air Compressor System  (37 kW ×2)</t>
  </si>
  <si>
    <t xml:space="preserve">Air Compressor System</t>
  </si>
  <si>
    <t xml:space="preserve">37 kW ×2</t>
  </si>
  <si>
    <t xml:space="preserve">Compressed Air Demand Audit</t>
  </si>
  <si>
    <t xml:space="preserve">Piping Layout Approval</t>
  </si>
  <si>
    <t xml:space="preserve">Shipping</t>
  </si>
  <si>
    <t xml:space="preserve">Compressor Room Preparation</t>
  </si>
  <si>
    <t xml:space="preserve">Ventilation &amp; cooling req.</t>
  </si>
  <si>
    <t xml:space="preserve">Pipe Network Connection</t>
  </si>
  <si>
    <t xml:space="preserve">Pressure &amp; Leak Test</t>
  </si>
  <si>
    <t xml:space="preserve">Confirm 4.3 m³/H</t>
  </si>
  <si>
    <t xml:space="preserve">  SYSTEM 3  ·  Water System  (10000 Kg/H)</t>
  </si>
  <si>
    <t xml:space="preserve">Water System</t>
  </si>
  <si>
    <t xml:space="preserve">10000 Kg/H</t>
  </si>
  <si>
    <t xml:space="preserve">Water Balance Study</t>
  </si>
  <si>
    <t xml:space="preserve">Plumbing Drawing Approval</t>
  </si>
  <si>
    <t xml:space="preserve">Pump &amp; Tank Selection</t>
  </si>
  <si>
    <t xml:space="preserve">Manufacturing / Supply</t>
  </si>
  <si>
    <t xml:space="preserve">Trenching &amp; Civil Works</t>
  </si>
  <si>
    <t xml:space="preserve">Pump &amp; Tank Installation</t>
  </si>
  <si>
    <t xml:space="preserve">Pipe Network Installation</t>
  </si>
  <si>
    <t xml:space="preserve">Hydraulic Pressure Test</t>
  </si>
  <si>
    <t xml:space="preserve">Flow Rate Verification</t>
  </si>
  <si>
    <t xml:space="preserve">Confirm 2760 Kg/H</t>
  </si>
  <si>
    <t xml:space="preserve">  SYSTEM 4  ·  Weighbridge  (60T)</t>
  </si>
  <si>
    <t xml:space="preserve">Weighbridge</t>
  </si>
  <si>
    <t xml:space="preserve">60T</t>
  </si>
  <si>
    <t xml:space="preserve">Foundation Design</t>
  </si>
  <si>
    <t xml:space="preserve">60T load capacity</t>
  </si>
  <si>
    <t xml:space="preserve">Supplier Selection</t>
  </si>
  <si>
    <t xml:space="preserve">Manufacturing</t>
  </si>
  <si>
    <t xml:space="preserve">Transport to Site</t>
  </si>
  <si>
    <t xml:space="preserve">Heavy lift required</t>
  </si>
  <si>
    <t xml:space="preserve">Foundation Construction</t>
  </si>
  <si>
    <t xml:space="preserve">Weighbridge Installation</t>
  </si>
  <si>
    <t xml:space="preserve">Electrical &amp; Data Wiring</t>
  </si>
  <si>
    <t xml:space="preserve">Electrician</t>
  </si>
  <si>
    <t xml:space="preserve">Calibration &amp; Certification</t>
  </si>
  <si>
    <t xml:space="preserve">Third Party</t>
  </si>
  <si>
    <t xml:space="preserve">Legal metrology certification</t>
  </si>
  <si>
    <t xml:space="preserve">Operational Test</t>
  </si>
  <si>
    <t xml:space="preserve">  SYSTEM 5  ·  Big Storage Oil Tank  (2 × 20,000 L)</t>
  </si>
  <si>
    <t xml:space="preserve">Big Storage Oil Tank</t>
  </si>
  <si>
    <t xml:space="preserve">2 × 20,000 L</t>
  </si>
  <si>
    <t xml:space="preserve">Tank Specs Review (Annex D)</t>
  </si>
  <si>
    <t xml:space="preserve">Refer to Annex D</t>
  </si>
  <si>
    <t xml:space="preserve">Civil Foundation Design</t>
  </si>
  <si>
    <t xml:space="preserve">Tank Fabrication</t>
  </si>
  <si>
    <t xml:space="preserve">40,000L total capacity</t>
  </si>
  <si>
    <t xml:space="preserve">Oversized Transport Permit</t>
  </si>
  <si>
    <t xml:space="preserve">Oversized load permit req.</t>
  </si>
  <si>
    <t xml:space="preserve">Civil Bund &amp; Foundation</t>
  </si>
  <si>
    <t xml:space="preserve">Secondary containment bund</t>
  </si>
  <si>
    <t xml:space="preserve">Tank Erection &amp; Anchoring</t>
  </si>
  <si>
    <t xml:space="preserve">Pipework &amp; Valves</t>
  </si>
  <si>
    <t xml:space="preserve">Hydrostatic Test</t>
  </si>
  <si>
    <t xml:space="preserve">Leak integrity test</t>
  </si>
  <si>
    <t xml:space="preserve">Regulatory Inspection</t>
  </si>
  <si>
    <t xml:space="preserve">Fire safety &amp; env. compliance</t>
  </si>
  <si>
    <t xml:space="preserve">  SYSTEM 6  ·  Elevator  (2×2T)</t>
  </si>
  <si>
    <t xml:space="preserve">Elevator</t>
  </si>
  <si>
    <t xml:space="preserve">2×2T</t>
  </si>
  <si>
    <t xml:space="preserve">Structural Drawing Review</t>
  </si>
  <si>
    <t xml:space="preserve">FAMSUN review by May 31</t>
  </si>
  <si>
    <t xml:space="preserve">Drawing Mod Feedback to PFF</t>
  </si>
  <si>
    <t xml:space="preserve">Vendor/Supplier Finalization</t>
  </si>
  <si>
    <t xml:space="preserve">Shaft / Structural Prep</t>
  </si>
  <si>
    <t xml:space="preserve">Elevator Installation</t>
  </si>
  <si>
    <t xml:space="preserve">Specialist</t>
  </si>
  <si>
    <t xml:space="preserve">Certified elevator installer</t>
  </si>
  <si>
    <t xml:space="preserve">Electrical Connections</t>
  </si>
  <si>
    <t xml:space="preserve">Load Test (People &amp; Goods)</t>
  </si>
  <si>
    <t xml:space="preserve">Both use cases to be tested</t>
  </si>
  <si>
    <t xml:space="preserve">Safety Inspection &amp; Cert.</t>
  </si>
  <si>
    <t xml:space="preserve">Regulatory certification req.</t>
  </si>
  <si>
    <t xml:space="preserve">Handover &amp; Training</t>
  </si>
  <si>
    <t xml:space="preserve">  SYSTEM 7  ·  Electrical Installation &amp; Transformer  (1600 KVA)</t>
  </si>
  <si>
    <t xml:space="preserve">Electrical Installation &amp; Transformer</t>
  </si>
  <si>
    <t xml:space="preserve">1600 KVA</t>
  </si>
  <si>
    <t xml:space="preserve">  SYSTEM 8  ·  Aménagement Extérieur  (Béton)</t>
  </si>
  <si>
    <t xml:space="preserve">Aménagement Extérieur</t>
  </si>
  <si>
    <t xml:space="preserve">Béton</t>
  </si>
  <si>
    <t xml:space="preserve">  SYSTEM 9  ·  Solaire Électricité  (30% × 1600 KVA)</t>
  </si>
  <si>
    <t xml:space="preserve">Solaire Électricité</t>
  </si>
  <si>
    <t xml:space="preserve">30% × 1600 KVA</t>
  </si>
  <si>
    <t xml:space="preserve">  SYSTEM 10  ·  Installation GAZ  (15 m³)</t>
  </si>
  <si>
    <t xml:space="preserve">Installation GAZ</t>
  </si>
  <si>
    <t xml:space="preserve">15 m³</t>
  </si>
  <si>
    <t xml:space="preserve">  SYSTEM 11  ·  Séparation et Froid Industriel  (Dry)</t>
  </si>
  <si>
    <t xml:space="preserve">Séparation et Froid Industriel</t>
  </si>
  <si>
    <t xml:space="preserve">Dry</t>
  </si>
  <si>
    <t xml:space="preserve">  SYSTEM 12  ·  Séparation Salle de Commande &amp; MCC  (Dry)</t>
  </si>
  <si>
    <t xml:space="preserve">Séparation Salle de Commande &amp; MCC</t>
  </si>
  <si>
    <t xml:space="preserve">  SYSTEM 13  ·  Recrutement</t>
  </si>
  <si>
    <t xml:space="preserve">Recrutement</t>
  </si>
  <si>
    <t xml:space="preserve">—</t>
  </si>
  <si>
    <t xml:space="preserve">Responsable technique</t>
  </si>
  <si>
    <t xml:space="preserve">CV</t>
  </si>
  <si>
    <t xml:space="preserve">cv</t>
  </si>
  <si>
    <t xml:space="preserve">Responsable qualité</t>
  </si>
  <si>
    <t xml:space="preserve">ENTRETIEN</t>
  </si>
  <si>
    <t xml:space="preserve">Finalization</t>
  </si>
  <si>
    <t xml:space="preserve">  SYSTEM 14  ·  Logiciel</t>
  </si>
  <si>
    <t xml:space="preserve">Logiciel</t>
  </si>
  <si>
    <t xml:space="preserve">P&amp;ID  Approval</t>
  </si>
  <si>
    <t xml:space="preserve">📊  PET FACTORY MAROC — Project Dashboard</t>
  </si>
  <si>
    <t xml:space="preserve">Key Metrics</t>
  </si>
  <si>
    <t xml:space="preserve">Total Tasks</t>
  </si>
  <si>
    <t xml:space="preserve">Overall Completion (weighted: Complete=100%, In Progress=50%)</t>
  </si>
  <si>
    <t xml:space="preserve">Project %</t>
  </si>
  <si>
    <t xml:space="preserve">System Summary</t>
  </si>
  <si>
    <t xml:space="preserve">Total</t>
  </si>
  <si>
    <t xml:space="preserve">% Complete</t>
  </si>
  <si>
    <t xml:space="preserve">TOTAL</t>
  </si>
  <si>
    <t xml:space="preserve">Key Project Milestones</t>
  </si>
  <si>
    <t xml:space="preserve">Date</t>
  </si>
  <si>
    <t xml:space="preserve">Milestone</t>
  </si>
  <si>
    <t xml:space="preserve">FAMSUN Drawing Review Deadline (Boiler + Elevator)</t>
  </si>
  <si>
    <t xml:space="preserve">Boiler / Compressor / Elevator Vendor Finalization</t>
  </si>
  <si>
    <t xml:space="preserve">Boiler &amp; Elevator Manufacturing Complete</t>
  </si>
  <si>
    <t xml:space="preserve">Major Equipment Shipping Complete</t>
  </si>
  <si>
    <t xml:space="preserve">Site Deliveries Complete</t>
  </si>
  <si>
    <t xml:space="preserve">Equipment Installation Complete</t>
  </si>
  <si>
    <t xml:space="preserve">All Systems Tested &amp; Commissioned — Facility Ready</t>
  </si>
  <si>
    <t xml:space="preserve">As of:</t>
  </si>
  <si>
    <t xml:space="preserve">📅  PET FACTORY MAROC — Dynamic Project Gantt  (bars update automatically from Task Tracker dates &amp; status)</t>
  </si>
  <si>
    <t xml:space="preserve">  ▶  SYSTEM 1  —  Boiler System  (6000 Kg/H)</t>
  </si>
  <si>
    <t xml:space="preserve">  ▶  SYSTEM 2  —  Air Compressor System  (37 kW ×2)</t>
  </si>
  <si>
    <t xml:space="preserve">  ▶  SYSTEM 3  —  Water System  (10000 Kg/H)</t>
  </si>
  <si>
    <t xml:space="preserve">  ▶  SYSTEM 4  —  Weighbridge  (60T)</t>
  </si>
  <si>
    <t xml:space="preserve">  ▶  SYSTEM 5  —  Big Storage Oil Tank  (2 × 20,000 L)</t>
  </si>
  <si>
    <t xml:space="preserve">  ▶  SYSTEM 6  —  Elevator  (2×2T)</t>
  </si>
  <si>
    <t xml:space="preserve">  ▶  SYSTEM 7  —  Electrical Installation &amp; Transformer  (1600 KVA)</t>
  </si>
  <si>
    <t xml:space="preserve">  ▶  SYSTEM 8  —  Aménagement Extérieur  (Béton)</t>
  </si>
  <si>
    <t xml:space="preserve">  ▶  SYSTEM 9  —  Solaire Électricité  (30% × 1600 KVA)</t>
  </si>
  <si>
    <t xml:space="preserve">  ▶  SYSTEM 10  —  Installation GAZ  (15 m³)</t>
  </si>
  <si>
    <t xml:space="preserve">  ▶  SYSTEM 11  —  Séparation et Froid Industriel  (Dry)</t>
  </si>
  <si>
    <t xml:space="preserve">  ▶  SYSTEM 12  —  Séparation Salle de Commande &amp; MCC  (Dry)</t>
  </si>
  <si>
    <t xml:space="preserve">  ▶  SYSTEM 13  —  Recrutement</t>
  </si>
  <si>
    <t xml:space="preserve">  ▶  SYSTEM 14  —  Logiciel</t>
  </si>
  <si>
    <t xml:space="preserve">LEGEND:</t>
  </si>
  <si>
    <t xml:space="preserve">Blocked</t>
  </si>
  <si>
    <t xml:space="preserve">Today (band)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</si>
</sst>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-mmm\-yy"/>
    <numFmt numFmtId="166" formatCode="General"/>
    <numFmt numFmtId="167" formatCode="0.0%"/>
    <numFmt numFmtId="168" formatCode="dd\nmmm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8"/>
      <color rgb="FF2E4E7E"/>
      <name val="Arial"/>
      <family val="0"/>
      <charset val="1"/>
    </font>
    <font>
      <b val="true"/>
      <sz val="18"/>
      <color rgb="FF70AD47"/>
      <name val="Arial"/>
      <family val="0"/>
      <charset val="1"/>
    </font>
    <font>
      <b val="true"/>
      <sz val="18"/>
      <color rgb="FFFFC000"/>
      <name val="Arial"/>
      <family val="0"/>
      <charset val="1"/>
    </font>
    <font>
      <b val="true"/>
      <sz val="18"/>
      <color rgb="FFA6A6A6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2"/>
      <color rgb="FF0061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7"/>
      <color rgb="FFFFFFFF"/>
      <name val="Arial"/>
      <family val="0"/>
      <charset val="1"/>
    </font>
    <font>
      <b val="true"/>
      <sz val="8"/>
      <color rgb="FF000000"/>
      <name val="Arial"/>
      <family val="0"/>
      <charset val="1"/>
    </font>
    <font>
      <sz val="8"/>
      <color rgb="FF000000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4E7E"/>
        <bgColor rgb="FF1F3864"/>
      </patternFill>
    </fill>
    <fill>
      <patternFill patternType="solid">
        <fgColor rgb="FFFFFFFF"/>
        <bgColor rgb="FFF2F2F2"/>
      </patternFill>
    </fill>
    <fill>
      <patternFill patternType="solid">
        <fgColor rgb="FFEAF0F8"/>
        <bgColor rgb="FFF2F2F2"/>
      </patternFill>
    </fill>
    <fill>
      <patternFill patternType="solid">
        <fgColor rgb="FF70AD47"/>
        <bgColor rgb="FF99CC00"/>
      </patternFill>
    </fill>
    <fill>
      <patternFill patternType="solid">
        <fgColor rgb="FFFFC000"/>
        <bgColor rgb="FFFF9900"/>
      </patternFill>
    </fill>
    <fill>
      <patternFill patternType="solid">
        <fgColor rgb="FFA6A6A6"/>
        <bgColor rgb="FFBFBFBF"/>
      </patternFill>
    </fill>
    <fill>
      <patternFill patternType="solid">
        <fgColor rgb="FFF2F2F2"/>
        <bgColor rgb="FFEAF0F8"/>
      </patternFill>
    </fill>
    <fill>
      <patternFill patternType="solid">
        <fgColor rgb="FFE2EFDA"/>
        <bgColor rgb="FFEAF0F8"/>
      </patternFill>
    </fill>
    <fill>
      <patternFill patternType="solid">
        <fgColor rgb="FFB4C6E7"/>
        <bgColor rgb="FFBFBFBF"/>
      </patternFill>
    </fill>
    <fill>
      <patternFill patternType="solid">
        <fgColor rgb="FFFF0000"/>
        <bgColor rgb="FF9C0006"/>
      </patternFill>
    </fill>
    <fill>
      <patternFill patternType="solid">
        <fgColor rgb="FFFCE4D6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4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7" fillId="2" borderId="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1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ont>
        <name val="Arial"/>
        <charset val="1"/>
        <family val="0"/>
        <b val="1"/>
        <color rgb="FF006100"/>
        <sz val="9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6500"/>
        <sz val="9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595959"/>
        <sz val="9"/>
      </font>
      <fill>
        <patternFill>
          <bgColor rgb="FFD9D9D9"/>
        </patternFill>
      </fill>
    </dxf>
    <dxf>
      <font>
        <name val="Arial"/>
        <charset val="1"/>
        <family val="0"/>
        <b val="1"/>
        <color rgb="FF9C0006"/>
        <sz val="9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006100"/>
        <sz val="8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6500"/>
        <sz val="8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595959"/>
        <sz val="8"/>
      </font>
      <fill>
        <patternFill>
          <bgColor rgb="FFD9D9D9"/>
        </patternFill>
      </fill>
    </dxf>
    <dxf>
      <font>
        <name val="Arial"/>
        <charset val="1"/>
        <family val="0"/>
        <b val="1"/>
        <color rgb="FF9C0006"/>
        <sz val="8"/>
      </font>
      <fill>
        <patternFill>
          <bgColor rgb="FFFFC7CE"/>
        </patternFill>
      </fill>
    </dxf>
    <dxf>
      <fill>
        <patternFill>
          <bgColor rgb="FF70AD47"/>
        </patternFill>
      </fill>
    </dxf>
    <dxf>
      <fill>
        <patternFill>
          <bgColor rgb="FFFFC000"/>
        </patternFill>
      </fill>
    </dxf>
    <dxf>
      <fill>
        <patternFill>
          <bgColor rgb="FFB4C6E7"/>
        </patternFill>
      </fill>
    </dxf>
    <dxf>
      <fill>
        <patternFill>
          <bgColor rgb="FFFF0000"/>
        </patternFill>
      </fill>
    </dxf>
    <dxf>
      <fill>
        <patternFill>
          <bgColor rgb="FFFCE4D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BFBF"/>
      <rgbColor rgb="FF808080"/>
      <rgbColor rgb="FF9999FF"/>
      <rgbColor rgb="FF993366"/>
      <rgbColor rgb="FFF2F2F2"/>
      <rgbColor rgb="FFEAF0F8"/>
      <rgbColor rgb="FF660066"/>
      <rgbColor rgb="FFFF8080"/>
      <rgbColor rgb="FF0066CC"/>
      <rgbColor rgb="FFB4C6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D9D9D9"/>
      <rgbColor rgb="FFFCE4D6"/>
      <rgbColor rgb="FFCC99FF"/>
      <rgbColor rgb="FFFFC7CE"/>
      <rgbColor rgb="FF3366FF"/>
      <rgbColor rgb="FF33CCCC"/>
      <rgbColor rgb="FF99CC00"/>
      <rgbColor rgb="FFFFC000"/>
      <rgbColor rgb="FFFF9900"/>
      <rgbColor rgb="FFFF6600"/>
      <rgbColor rgb="FF595959"/>
      <rgbColor rgb="FFA6A6A6"/>
      <rgbColor rgb="FF1F3864"/>
      <rgbColor rgb="FF70AD47"/>
      <rgbColor rgb="FF003300"/>
      <rgbColor rgb="FF333300"/>
      <rgbColor rgb="FF993300"/>
      <rgbColor rgb="FF993366"/>
      <rgbColor rgb="FF2E4E7E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14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5" min="5" style="0" width="28"/>
    <col collapsed="false" customWidth="true" hidden="false" outlineLevel="0" max="6" min="6" style="0" width="16"/>
    <col collapsed="false" customWidth="true" hidden="false" outlineLevel="0" max="7" min="7" style="0" width="13"/>
    <col collapsed="false" customWidth="true" hidden="false" outlineLevel="0" max="9" min="8" style="0" width="12"/>
    <col collapsed="false" customWidth="true" hidden="false" outlineLevel="0" max="10" min="10" style="0" width="7"/>
    <col collapsed="false" customWidth="true" hidden="false" outlineLevel="0" max="11" min="11" style="0" width="40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9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customFormat="false" ht="18" hidden="false" customHeight="true" outlineLevel="0" collapsed="false">
      <c r="A3" s="3" t="s">
        <v>12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customFormat="false" ht="15" hidden="false" customHeight="false" outlineLevel="0" collapsed="false">
      <c r="A4" s="4" t="n">
        <v>1</v>
      </c>
      <c r="B4" s="5" t="s">
        <v>13</v>
      </c>
      <c r="C4" s="6" t="s">
        <v>14</v>
      </c>
      <c r="D4" s="5" t="s">
        <v>15</v>
      </c>
      <c r="E4" s="5" t="s">
        <v>16</v>
      </c>
      <c r="F4" s="5" t="s">
        <v>17</v>
      </c>
      <c r="G4" s="4" t="s">
        <v>18</v>
      </c>
      <c r="H4" s="7" t="n">
        <v>46133</v>
      </c>
      <c r="I4" s="7" t="n">
        <v>46146</v>
      </c>
      <c r="J4" s="6" t="n">
        <f aca="false">IF(AND(H4&lt;&gt;"",I4&lt;&gt;""),IF(I4&gt;=H4,ROUNDUP((I4-H4+1)/7,0),""),"")</f>
        <v>2</v>
      </c>
      <c r="K4" s="5" t="s">
        <v>19</v>
      </c>
    </row>
    <row r="5" customFormat="false" ht="15" hidden="false" customHeight="false" outlineLevel="0" collapsed="false">
      <c r="A5" s="8" t="n">
        <v>1</v>
      </c>
      <c r="B5" s="9" t="s">
        <v>13</v>
      </c>
      <c r="C5" s="10" t="s">
        <v>14</v>
      </c>
      <c r="D5" s="9" t="s">
        <v>15</v>
      </c>
      <c r="E5" s="9" t="s">
        <v>20</v>
      </c>
      <c r="F5" s="9" t="s">
        <v>17</v>
      </c>
      <c r="G5" s="8" t="s">
        <v>18</v>
      </c>
      <c r="H5" s="11" t="n">
        <v>46140</v>
      </c>
      <c r="I5" s="11" t="n">
        <v>46153</v>
      </c>
      <c r="J5" s="10" t="n">
        <f aca="false">IF(AND(H5&lt;&gt;"",I5&lt;&gt;""),IF(I5&gt;=H5,ROUNDUP((I5-H5+1)/7,0),""),"")</f>
        <v>2</v>
      </c>
      <c r="K5" s="9" t="s">
        <v>21</v>
      </c>
    </row>
    <row r="6" customFormat="false" ht="15" hidden="false" customHeight="false" outlineLevel="0" collapsed="false">
      <c r="A6" s="4" t="n">
        <v>1</v>
      </c>
      <c r="B6" s="5" t="s">
        <v>13</v>
      </c>
      <c r="C6" s="6" t="s">
        <v>14</v>
      </c>
      <c r="D6" s="5" t="s">
        <v>22</v>
      </c>
      <c r="E6" s="5" t="s">
        <v>23</v>
      </c>
      <c r="F6" s="5" t="s">
        <v>22</v>
      </c>
      <c r="G6" s="4" t="s">
        <v>24</v>
      </c>
      <c r="H6" s="7" t="n">
        <v>46153</v>
      </c>
      <c r="I6" s="7" t="n">
        <v>46214</v>
      </c>
      <c r="J6" s="6" t="n">
        <f aca="false">IF(AND(H6&lt;&gt;"",I6&lt;&gt;""),IF(I6&gt;=H6,ROUNDUP((I6-H6+1)/7,0),""),"")</f>
        <v>9</v>
      </c>
      <c r="K6" s="5"/>
    </row>
    <row r="7" customFormat="false" ht="15" hidden="false" customHeight="false" outlineLevel="0" collapsed="false">
      <c r="A7" s="8" t="n">
        <v>1</v>
      </c>
      <c r="B7" s="9" t="s">
        <v>13</v>
      </c>
      <c r="C7" s="10" t="s">
        <v>14</v>
      </c>
      <c r="D7" s="9" t="s">
        <v>22</v>
      </c>
      <c r="E7" s="9" t="s">
        <v>25</v>
      </c>
      <c r="F7" s="9" t="s">
        <v>22</v>
      </c>
      <c r="G7" s="8" t="s">
        <v>26</v>
      </c>
      <c r="H7" s="11" t="n">
        <v>46214</v>
      </c>
      <c r="I7" s="11" t="n">
        <v>46221</v>
      </c>
      <c r="J7" s="10" t="n">
        <f aca="false">IF(AND(H7&lt;&gt;"",I7&lt;&gt;""),IF(I7&gt;=H7,ROUNDUP((I7-H7+1)/7,0),""),"")</f>
        <v>2</v>
      </c>
      <c r="K7" s="9"/>
    </row>
    <row r="8" customFormat="false" ht="15" hidden="false" customHeight="false" outlineLevel="0" collapsed="false">
      <c r="A8" s="4" t="n">
        <v>1</v>
      </c>
      <c r="B8" s="5" t="s">
        <v>13</v>
      </c>
      <c r="C8" s="6" t="s">
        <v>14</v>
      </c>
      <c r="D8" s="5" t="s">
        <v>22</v>
      </c>
      <c r="E8" s="5" t="s">
        <v>27</v>
      </c>
      <c r="F8" s="5" t="s">
        <v>28</v>
      </c>
      <c r="G8" s="4" t="s">
        <v>26</v>
      </c>
      <c r="H8" s="7" t="n">
        <v>46221</v>
      </c>
      <c r="I8" s="7" t="n">
        <v>46252</v>
      </c>
      <c r="J8" s="6" t="n">
        <f aca="false">IF(AND(H8&lt;&gt;"",I8&lt;&gt;""),IF(I8&gt;=H8,ROUNDUP((I8-H8+1)/7,0),""),"")</f>
        <v>5</v>
      </c>
      <c r="K8" s="5" t="s">
        <v>29</v>
      </c>
    </row>
    <row r="9" customFormat="false" ht="15" hidden="false" customHeight="false" outlineLevel="0" collapsed="false">
      <c r="A9" s="8" t="n">
        <v>1</v>
      </c>
      <c r="B9" s="9" t="s">
        <v>13</v>
      </c>
      <c r="C9" s="10" t="s">
        <v>14</v>
      </c>
      <c r="D9" s="9" t="s">
        <v>30</v>
      </c>
      <c r="E9" s="9" t="s">
        <v>31</v>
      </c>
      <c r="F9" s="9" t="s">
        <v>32</v>
      </c>
      <c r="G9" s="8" t="s">
        <v>26</v>
      </c>
      <c r="H9" s="11" t="n">
        <v>46252</v>
      </c>
      <c r="I9" s="11" t="n">
        <v>46283</v>
      </c>
      <c r="J9" s="10" t="n">
        <f aca="false">IF(AND(H9&lt;&gt;"",I9&lt;&gt;""),IF(I9&gt;=H9,ROUNDUP((I9-H9+1)/7,0),""),"")</f>
        <v>5</v>
      </c>
      <c r="K9" s="9"/>
    </row>
    <row r="10" customFormat="false" ht="15" hidden="false" customHeight="false" outlineLevel="0" collapsed="false">
      <c r="A10" s="4" t="n">
        <v>1</v>
      </c>
      <c r="B10" s="5" t="s">
        <v>13</v>
      </c>
      <c r="C10" s="6" t="s">
        <v>14</v>
      </c>
      <c r="D10" s="5" t="s">
        <v>30</v>
      </c>
      <c r="E10" s="5" t="s">
        <v>33</v>
      </c>
      <c r="F10" s="5" t="s">
        <v>32</v>
      </c>
      <c r="G10" s="4" t="s">
        <v>26</v>
      </c>
      <c r="H10" s="7" t="n">
        <v>46283</v>
      </c>
      <c r="I10" s="7" t="n">
        <v>46313</v>
      </c>
      <c r="J10" s="6" t="n">
        <f aca="false">IF(AND(H10&lt;&gt;"",I10&lt;&gt;""),IF(I10&gt;=H10,ROUNDUP((I10-H10+1)/7,0),""),"")</f>
        <v>5</v>
      </c>
      <c r="K10" s="5"/>
    </row>
    <row r="11" customFormat="false" ht="15" hidden="false" customHeight="false" outlineLevel="0" collapsed="false">
      <c r="A11" s="8" t="n">
        <v>1</v>
      </c>
      <c r="B11" s="9" t="s">
        <v>13</v>
      </c>
      <c r="C11" s="10" t="s">
        <v>14</v>
      </c>
      <c r="D11" s="9" t="s">
        <v>30</v>
      </c>
      <c r="E11" s="9" t="s">
        <v>34</v>
      </c>
      <c r="F11" s="9" t="s">
        <v>32</v>
      </c>
      <c r="G11" s="8" t="s">
        <v>26</v>
      </c>
      <c r="H11" s="11" t="n">
        <v>46313</v>
      </c>
      <c r="I11" s="11" t="n">
        <v>46323</v>
      </c>
      <c r="J11" s="10" t="n">
        <f aca="false">IF(AND(H11&lt;&gt;"",I11&lt;&gt;""),IF(I11&gt;=H11,ROUNDUP((I11-H11+1)/7,0),""),"")</f>
        <v>2</v>
      </c>
      <c r="K11" s="9"/>
    </row>
    <row r="12" customFormat="false" ht="15" hidden="false" customHeight="false" outlineLevel="0" collapsed="false">
      <c r="A12" s="4" t="n">
        <v>1</v>
      </c>
      <c r="B12" s="5" t="s">
        <v>13</v>
      </c>
      <c r="C12" s="6" t="s">
        <v>14</v>
      </c>
      <c r="D12" s="5" t="s">
        <v>35</v>
      </c>
      <c r="E12" s="5" t="s">
        <v>36</v>
      </c>
      <c r="F12" s="5" t="s">
        <v>37</v>
      </c>
      <c r="G12" s="4" t="s">
        <v>26</v>
      </c>
      <c r="H12" s="7" t="n">
        <v>46191</v>
      </c>
      <c r="I12" s="7" t="n">
        <v>46236</v>
      </c>
      <c r="J12" s="6" t="n">
        <f aca="false">IF(AND(H12&lt;&gt;"",I12&lt;&gt;""),IF(I12&gt;=H12,ROUNDUP((I12-H12+1)/7,0),""),"")</f>
        <v>7</v>
      </c>
      <c r="K12" s="5"/>
    </row>
    <row r="13" customFormat="false" ht="15" hidden="false" customHeight="false" outlineLevel="0" collapsed="false">
      <c r="A13" s="8" t="n">
        <v>1</v>
      </c>
      <c r="B13" s="9" t="s">
        <v>13</v>
      </c>
      <c r="C13" s="10" t="s">
        <v>14</v>
      </c>
      <c r="D13" s="9" t="s">
        <v>35</v>
      </c>
      <c r="E13" s="9" t="s">
        <v>38</v>
      </c>
      <c r="F13" s="9" t="s">
        <v>39</v>
      </c>
      <c r="G13" s="8" t="s">
        <v>26</v>
      </c>
      <c r="H13" s="11" t="n">
        <v>46323</v>
      </c>
      <c r="I13" s="11" t="n">
        <v>46334</v>
      </c>
      <c r="J13" s="10" t="n">
        <f aca="false">IF(AND(H13&lt;&gt;"",I13&lt;&gt;""),IF(I13&gt;=H13,ROUNDUP((I13-H13+1)/7,0),""),"")</f>
        <v>2</v>
      </c>
      <c r="K13" s="9"/>
    </row>
    <row r="14" customFormat="false" ht="15" hidden="false" customHeight="false" outlineLevel="0" collapsed="false">
      <c r="A14" s="4" t="n">
        <v>1</v>
      </c>
      <c r="B14" s="5" t="s">
        <v>13</v>
      </c>
      <c r="C14" s="6" t="s">
        <v>14</v>
      </c>
      <c r="D14" s="5" t="s">
        <v>35</v>
      </c>
      <c r="E14" s="5" t="s">
        <v>40</v>
      </c>
      <c r="F14" s="5" t="s">
        <v>39</v>
      </c>
      <c r="G14" s="4" t="s">
        <v>26</v>
      </c>
      <c r="H14" s="7" t="n">
        <v>46217</v>
      </c>
      <c r="I14" s="7" t="n">
        <v>46248</v>
      </c>
      <c r="J14" s="6" t="n">
        <f aca="false">IF(AND(H14&lt;&gt;"",I14&lt;&gt;""),IF(I14&gt;=H14,ROUNDUP((I14-H14+1)/7,0),""),"")</f>
        <v>5</v>
      </c>
      <c r="K14" s="5"/>
    </row>
    <row r="15" customFormat="false" ht="15" hidden="false" customHeight="false" outlineLevel="0" collapsed="false">
      <c r="A15" s="8" t="n">
        <v>1</v>
      </c>
      <c r="B15" s="9" t="s">
        <v>13</v>
      </c>
      <c r="C15" s="10" t="s">
        <v>14</v>
      </c>
      <c r="D15" s="9" t="s">
        <v>41</v>
      </c>
      <c r="E15" s="9" t="s">
        <v>42</v>
      </c>
      <c r="F15" s="9" t="s">
        <v>17</v>
      </c>
      <c r="G15" s="8" t="s">
        <v>26</v>
      </c>
      <c r="H15" s="11" t="n">
        <v>46334</v>
      </c>
      <c r="I15" s="11" t="n">
        <v>46344</v>
      </c>
      <c r="J15" s="10" t="n">
        <f aca="false">IF(AND(H15&lt;&gt;"",I15&lt;&gt;""),IF(I15&gt;=H15,ROUNDUP((I15-H15+1)/7,0),""),"")</f>
        <v>2</v>
      </c>
      <c r="K15" s="9" t="s">
        <v>43</v>
      </c>
    </row>
    <row r="16" customFormat="false" ht="15" hidden="false" customHeight="false" outlineLevel="0" collapsed="false">
      <c r="A16" s="4" t="n">
        <v>1</v>
      </c>
      <c r="B16" s="5" t="s">
        <v>13</v>
      </c>
      <c r="C16" s="6" t="s">
        <v>14</v>
      </c>
      <c r="D16" s="5" t="s">
        <v>41</v>
      </c>
      <c r="E16" s="5" t="s">
        <v>44</v>
      </c>
      <c r="F16" s="5" t="s">
        <v>17</v>
      </c>
      <c r="G16" s="4" t="s">
        <v>26</v>
      </c>
      <c r="H16" s="7" t="n">
        <v>46344</v>
      </c>
      <c r="I16" s="7" t="n">
        <v>46350</v>
      </c>
      <c r="J16" s="6" t="n">
        <f aca="false">IF(AND(H16&lt;&gt;"",I16&lt;&gt;""),IF(I16&gt;=H16,ROUNDUP((I16-H16+1)/7,0),""),"")</f>
        <v>1</v>
      </c>
      <c r="K16" s="5"/>
    </row>
    <row r="17" customFormat="false" ht="15" hidden="false" customHeight="false" outlineLevel="0" collapsed="false">
      <c r="A17" s="8" t="n">
        <v>1</v>
      </c>
      <c r="B17" s="9" t="s">
        <v>13</v>
      </c>
      <c r="C17" s="10" t="s">
        <v>14</v>
      </c>
      <c r="D17" s="9" t="s">
        <v>41</v>
      </c>
      <c r="E17" s="9" t="s">
        <v>45</v>
      </c>
      <c r="F17" s="9" t="s">
        <v>17</v>
      </c>
      <c r="G17" s="8" t="s">
        <v>26</v>
      </c>
      <c r="H17" s="11" t="n">
        <v>46344</v>
      </c>
      <c r="I17" s="11" t="n">
        <v>46350</v>
      </c>
      <c r="J17" s="10" t="n">
        <f aca="false">IF(AND(H17&lt;&gt;"",I17&lt;&gt;""),IF(I17&gt;=H17,ROUNDUP((I17-H17+1)/7,0),""),"")</f>
        <v>1</v>
      </c>
      <c r="K17" s="9" t="s">
        <v>46</v>
      </c>
    </row>
    <row r="18" customFormat="false" ht="18" hidden="false" customHeight="true" outlineLevel="0" collapsed="false">
      <c r="A18" s="3" t="s">
        <v>47</v>
      </c>
      <c r="B18" s="3"/>
      <c r="C18" s="3"/>
      <c r="D18" s="3"/>
      <c r="E18" s="3"/>
      <c r="F18" s="3"/>
      <c r="G18" s="3"/>
      <c r="H18" s="3"/>
      <c r="I18" s="3"/>
      <c r="J18" s="3"/>
      <c r="K18" s="3"/>
    </row>
    <row r="19" customFormat="false" ht="15" hidden="false" customHeight="false" outlineLevel="0" collapsed="false">
      <c r="A19" s="4" t="n">
        <v>2</v>
      </c>
      <c r="B19" s="5" t="s">
        <v>48</v>
      </c>
      <c r="C19" s="6" t="s">
        <v>49</v>
      </c>
      <c r="D19" s="5" t="s">
        <v>15</v>
      </c>
      <c r="E19" s="5" t="s">
        <v>50</v>
      </c>
      <c r="F19" s="5" t="s">
        <v>17</v>
      </c>
      <c r="G19" s="4" t="s">
        <v>18</v>
      </c>
      <c r="H19" s="7" t="n">
        <v>46133</v>
      </c>
      <c r="I19" s="7" t="n">
        <v>46146</v>
      </c>
      <c r="J19" s="6" t="n">
        <f aca="false">IF(AND(H19&lt;&gt;"",I19&lt;&gt;""),IF(I19&gt;=H19,ROUNDUP((I19-H19+1)/7,0),""),"")</f>
        <v>2</v>
      </c>
      <c r="K19" s="5"/>
    </row>
    <row r="20" customFormat="false" ht="15" hidden="false" customHeight="false" outlineLevel="0" collapsed="false">
      <c r="A20" s="8" t="n">
        <v>2</v>
      </c>
      <c r="B20" s="9" t="s">
        <v>48</v>
      </c>
      <c r="C20" s="10" t="s">
        <v>49</v>
      </c>
      <c r="D20" s="9" t="s">
        <v>15</v>
      </c>
      <c r="E20" s="9" t="s">
        <v>51</v>
      </c>
      <c r="F20" s="9" t="s">
        <v>17</v>
      </c>
      <c r="G20" s="8" t="s">
        <v>18</v>
      </c>
      <c r="H20" s="11" t="n">
        <v>46140</v>
      </c>
      <c r="I20" s="11" t="n">
        <v>46153</v>
      </c>
      <c r="J20" s="10" t="n">
        <f aca="false">IF(AND(H20&lt;&gt;"",I20&lt;&gt;""),IF(I20&gt;=H20,ROUNDUP((I20-H20+1)/7,0),""),"")</f>
        <v>2</v>
      </c>
      <c r="K20" s="9"/>
    </row>
    <row r="21" customFormat="false" ht="15" hidden="false" customHeight="false" outlineLevel="0" collapsed="false">
      <c r="A21" s="4" t="n">
        <v>2</v>
      </c>
      <c r="B21" s="5" t="s">
        <v>48</v>
      </c>
      <c r="C21" s="6" t="s">
        <v>49</v>
      </c>
      <c r="D21" s="5" t="s">
        <v>22</v>
      </c>
      <c r="E21" s="5" t="s">
        <v>23</v>
      </c>
      <c r="F21" s="5" t="s">
        <v>22</v>
      </c>
      <c r="G21" s="4" t="s">
        <v>24</v>
      </c>
      <c r="H21" s="7" t="n">
        <v>46153</v>
      </c>
      <c r="I21" s="7" t="n">
        <v>46214</v>
      </c>
      <c r="J21" s="6" t="n">
        <f aca="false">IF(AND(H21&lt;&gt;"",I21&lt;&gt;""),IF(I21&gt;=H21,ROUNDUP((I21-H21+1)/7,0),""),"")</f>
        <v>9</v>
      </c>
      <c r="K21" s="5"/>
    </row>
    <row r="22" customFormat="false" ht="15" hidden="false" customHeight="false" outlineLevel="0" collapsed="false">
      <c r="A22" s="8" t="n">
        <v>2</v>
      </c>
      <c r="B22" s="9" t="s">
        <v>48</v>
      </c>
      <c r="C22" s="10" t="s">
        <v>49</v>
      </c>
      <c r="D22" s="9" t="s">
        <v>22</v>
      </c>
      <c r="E22" s="9" t="s">
        <v>25</v>
      </c>
      <c r="F22" s="9" t="s">
        <v>22</v>
      </c>
      <c r="G22" s="8" t="s">
        <v>26</v>
      </c>
      <c r="H22" s="11" t="n">
        <v>46214</v>
      </c>
      <c r="I22" s="11" t="n">
        <v>46221</v>
      </c>
      <c r="J22" s="10" t="n">
        <f aca="false">IF(AND(H22&lt;&gt;"",I22&lt;&gt;""),IF(I22&gt;=H22,ROUNDUP((I22-H22+1)/7,0),""),"")</f>
        <v>2</v>
      </c>
      <c r="K22" s="9"/>
    </row>
    <row r="23" customFormat="false" ht="15" hidden="false" customHeight="false" outlineLevel="0" collapsed="false">
      <c r="A23" s="4" t="n">
        <v>2</v>
      </c>
      <c r="B23" s="5" t="s">
        <v>48</v>
      </c>
      <c r="C23" s="6" t="s">
        <v>49</v>
      </c>
      <c r="D23" s="5" t="s">
        <v>22</v>
      </c>
      <c r="E23" s="5" t="s">
        <v>27</v>
      </c>
      <c r="F23" s="5" t="s">
        <v>28</v>
      </c>
      <c r="G23" s="4" t="s">
        <v>26</v>
      </c>
      <c r="H23" s="7" t="n">
        <v>46221</v>
      </c>
      <c r="I23" s="7" t="n">
        <v>46252</v>
      </c>
      <c r="J23" s="6" t="n">
        <f aca="false">IF(AND(H23&lt;&gt;"",I23&lt;&gt;""),IF(I23&gt;=H23,ROUNDUP((I23-H23+1)/7,0),""),"")</f>
        <v>5</v>
      </c>
      <c r="K23" s="5"/>
    </row>
    <row r="24" customFormat="false" ht="15" hidden="false" customHeight="false" outlineLevel="0" collapsed="false">
      <c r="A24" s="8" t="n">
        <v>2</v>
      </c>
      <c r="B24" s="9" t="s">
        <v>48</v>
      </c>
      <c r="C24" s="10" t="s">
        <v>49</v>
      </c>
      <c r="D24" s="9" t="s">
        <v>30</v>
      </c>
      <c r="E24" s="9" t="s">
        <v>52</v>
      </c>
      <c r="F24" s="9" t="s">
        <v>32</v>
      </c>
      <c r="G24" s="8" t="s">
        <v>26</v>
      </c>
      <c r="H24" s="11" t="n">
        <v>46252</v>
      </c>
      <c r="I24" s="11" t="n">
        <v>46283</v>
      </c>
      <c r="J24" s="10" t="n">
        <f aca="false">IF(AND(H24&lt;&gt;"",I24&lt;&gt;""),IF(I24&gt;=H24,ROUNDUP((I24-H24+1)/7,0),""),"")</f>
        <v>5</v>
      </c>
      <c r="K24" s="9"/>
    </row>
    <row r="25" customFormat="false" ht="15" hidden="false" customHeight="false" outlineLevel="0" collapsed="false">
      <c r="A25" s="4" t="n">
        <v>2</v>
      </c>
      <c r="B25" s="5" t="s">
        <v>48</v>
      </c>
      <c r="C25" s="6" t="s">
        <v>49</v>
      </c>
      <c r="D25" s="5" t="s">
        <v>30</v>
      </c>
      <c r="E25" s="5" t="s">
        <v>33</v>
      </c>
      <c r="F25" s="5" t="s">
        <v>32</v>
      </c>
      <c r="G25" s="4" t="s">
        <v>26</v>
      </c>
      <c r="H25" s="7" t="n">
        <v>46283</v>
      </c>
      <c r="I25" s="7" t="n">
        <v>46313</v>
      </c>
      <c r="J25" s="6" t="n">
        <f aca="false">IF(AND(H25&lt;&gt;"",I25&lt;&gt;""),IF(I25&gt;=H25,ROUNDUP((I25-H25+1)/7,0),""),"")</f>
        <v>5</v>
      </c>
      <c r="K25" s="5"/>
    </row>
    <row r="26" customFormat="false" ht="15" hidden="false" customHeight="false" outlineLevel="0" collapsed="false">
      <c r="A26" s="8" t="n">
        <v>2</v>
      </c>
      <c r="B26" s="9" t="s">
        <v>48</v>
      </c>
      <c r="C26" s="10" t="s">
        <v>49</v>
      </c>
      <c r="D26" s="9" t="s">
        <v>30</v>
      </c>
      <c r="E26" s="9" t="s">
        <v>34</v>
      </c>
      <c r="F26" s="9" t="s">
        <v>32</v>
      </c>
      <c r="G26" s="8" t="s">
        <v>26</v>
      </c>
      <c r="H26" s="11" t="n">
        <v>46313</v>
      </c>
      <c r="I26" s="11" t="n">
        <v>46323</v>
      </c>
      <c r="J26" s="10" t="n">
        <f aca="false">IF(AND(H26&lt;&gt;"",I26&lt;&gt;""),IF(I26&gt;=H26,ROUNDUP((I26-H26+1)/7,0),""),"")</f>
        <v>2</v>
      </c>
      <c r="K26" s="9"/>
    </row>
    <row r="27" customFormat="false" ht="15" hidden="false" customHeight="false" outlineLevel="0" collapsed="false">
      <c r="A27" s="4" t="n">
        <v>2</v>
      </c>
      <c r="B27" s="5" t="s">
        <v>48</v>
      </c>
      <c r="C27" s="6" t="s">
        <v>49</v>
      </c>
      <c r="D27" s="5" t="s">
        <v>35</v>
      </c>
      <c r="E27" s="5" t="s">
        <v>53</v>
      </c>
      <c r="F27" s="5" t="s">
        <v>37</v>
      </c>
      <c r="G27" s="4" t="s">
        <v>26</v>
      </c>
      <c r="H27" s="7" t="n">
        <v>46191</v>
      </c>
      <c r="I27" s="7" t="n">
        <v>46236</v>
      </c>
      <c r="J27" s="6" t="n">
        <f aca="false">IF(AND(H27&lt;&gt;"",I27&lt;&gt;""),IF(I27&gt;=H27,ROUNDUP((I27-H27+1)/7,0),""),"")</f>
        <v>7</v>
      </c>
      <c r="K27" s="5" t="s">
        <v>54</v>
      </c>
    </row>
    <row r="28" customFormat="false" ht="15" hidden="false" customHeight="false" outlineLevel="0" collapsed="false">
      <c r="A28" s="8" t="n">
        <v>2</v>
      </c>
      <c r="B28" s="9" t="s">
        <v>48</v>
      </c>
      <c r="C28" s="10" t="s">
        <v>49</v>
      </c>
      <c r="D28" s="9" t="s">
        <v>35</v>
      </c>
      <c r="E28" s="9" t="s">
        <v>38</v>
      </c>
      <c r="F28" s="9" t="s">
        <v>39</v>
      </c>
      <c r="G28" s="8" t="s">
        <v>26</v>
      </c>
      <c r="H28" s="11" t="n">
        <v>46323</v>
      </c>
      <c r="I28" s="11" t="n">
        <v>46334</v>
      </c>
      <c r="J28" s="10" t="n">
        <f aca="false">IF(AND(H28&lt;&gt;"",I28&lt;&gt;""),IF(I28&gt;=H28,ROUNDUP((I28-H28+1)/7,0),""),"")</f>
        <v>2</v>
      </c>
      <c r="K28" s="9"/>
    </row>
    <row r="29" customFormat="false" ht="15" hidden="false" customHeight="false" outlineLevel="0" collapsed="false">
      <c r="A29" s="4" t="n">
        <v>2</v>
      </c>
      <c r="B29" s="5" t="s">
        <v>48</v>
      </c>
      <c r="C29" s="6" t="s">
        <v>49</v>
      </c>
      <c r="D29" s="5" t="s">
        <v>35</v>
      </c>
      <c r="E29" s="5" t="s">
        <v>55</v>
      </c>
      <c r="F29" s="5" t="s">
        <v>39</v>
      </c>
      <c r="G29" s="4" t="s">
        <v>26</v>
      </c>
      <c r="H29" s="7" t="n">
        <v>46217</v>
      </c>
      <c r="I29" s="7" t="n">
        <v>46248</v>
      </c>
      <c r="J29" s="6" t="n">
        <f aca="false">IF(AND(H29&lt;&gt;"",I29&lt;&gt;""),IF(I29&gt;=H29,ROUNDUP((I29-H29+1)/7,0),""),"")</f>
        <v>5</v>
      </c>
      <c r="K29" s="5"/>
    </row>
    <row r="30" customFormat="false" ht="15" hidden="false" customHeight="false" outlineLevel="0" collapsed="false">
      <c r="A30" s="8" t="n">
        <v>2</v>
      </c>
      <c r="B30" s="9" t="s">
        <v>48</v>
      </c>
      <c r="C30" s="10" t="s">
        <v>49</v>
      </c>
      <c r="D30" s="9" t="s">
        <v>41</v>
      </c>
      <c r="E30" s="9" t="s">
        <v>56</v>
      </c>
      <c r="F30" s="9" t="s">
        <v>17</v>
      </c>
      <c r="G30" s="8" t="s">
        <v>26</v>
      </c>
      <c r="H30" s="11" t="n">
        <v>46334</v>
      </c>
      <c r="I30" s="11" t="n">
        <v>46344</v>
      </c>
      <c r="J30" s="10" t="n">
        <f aca="false">IF(AND(H30&lt;&gt;"",I30&lt;&gt;""),IF(I30&gt;=H30,ROUNDUP((I30-H30+1)/7,0),""),"")</f>
        <v>2</v>
      </c>
      <c r="K30" s="9"/>
    </row>
    <row r="31" customFormat="false" ht="15" hidden="false" customHeight="false" outlineLevel="0" collapsed="false">
      <c r="A31" s="4" t="n">
        <v>2</v>
      </c>
      <c r="B31" s="5" t="s">
        <v>48</v>
      </c>
      <c r="C31" s="6" t="s">
        <v>49</v>
      </c>
      <c r="D31" s="5" t="s">
        <v>41</v>
      </c>
      <c r="E31" s="5" t="s">
        <v>45</v>
      </c>
      <c r="F31" s="5" t="s">
        <v>17</v>
      </c>
      <c r="G31" s="4" t="s">
        <v>26</v>
      </c>
      <c r="H31" s="7" t="n">
        <v>46344</v>
      </c>
      <c r="I31" s="7" t="n">
        <v>46350</v>
      </c>
      <c r="J31" s="6" t="n">
        <f aca="false">IF(AND(H31&lt;&gt;"",I31&lt;&gt;""),IF(I31&gt;=H31,ROUNDUP((I31-H31+1)/7,0),""),"")</f>
        <v>1</v>
      </c>
      <c r="K31" s="5" t="s">
        <v>57</v>
      </c>
    </row>
    <row r="32" customFormat="false" ht="18" hidden="false" customHeight="true" outlineLevel="0" collapsed="false">
      <c r="A32" s="3" t="s">
        <v>58</v>
      </c>
      <c r="B32" s="3"/>
      <c r="C32" s="3"/>
      <c r="D32" s="3"/>
      <c r="E32" s="3"/>
      <c r="F32" s="3"/>
      <c r="G32" s="3"/>
      <c r="H32" s="3"/>
      <c r="I32" s="3"/>
      <c r="J32" s="3"/>
      <c r="K32" s="3"/>
    </row>
    <row r="33" customFormat="false" ht="15" hidden="false" customHeight="false" outlineLevel="0" collapsed="false">
      <c r="A33" s="4" t="n">
        <v>3</v>
      </c>
      <c r="B33" s="5" t="s">
        <v>59</v>
      </c>
      <c r="C33" s="6" t="s">
        <v>60</v>
      </c>
      <c r="D33" s="5" t="s">
        <v>15</v>
      </c>
      <c r="E33" s="5" t="s">
        <v>61</v>
      </c>
      <c r="F33" s="5" t="s">
        <v>17</v>
      </c>
      <c r="G33" s="4" t="s">
        <v>18</v>
      </c>
      <c r="H33" s="7" t="n">
        <v>46140</v>
      </c>
      <c r="I33" s="7" t="n">
        <v>46153</v>
      </c>
      <c r="J33" s="6" t="n">
        <f aca="false">IF(AND(H33&lt;&gt;"",I33&lt;&gt;""),IF(I33&gt;=H33,ROUNDUP((I33-H33+1)/7,0),""),"")</f>
        <v>2</v>
      </c>
      <c r="K33" s="5"/>
    </row>
    <row r="34" customFormat="false" ht="15" hidden="false" customHeight="false" outlineLevel="0" collapsed="false">
      <c r="A34" s="8" t="n">
        <v>3</v>
      </c>
      <c r="B34" s="9" t="s">
        <v>59</v>
      </c>
      <c r="C34" s="10" t="s">
        <v>60</v>
      </c>
      <c r="D34" s="9" t="s">
        <v>15</v>
      </c>
      <c r="E34" s="9" t="s">
        <v>62</v>
      </c>
      <c r="F34" s="9" t="s">
        <v>17</v>
      </c>
      <c r="G34" s="8" t="s">
        <v>18</v>
      </c>
      <c r="H34" s="11" t="n">
        <v>46153</v>
      </c>
      <c r="I34" s="11" t="n">
        <v>46214</v>
      </c>
      <c r="J34" s="10" t="n">
        <f aca="false">IF(AND(H34&lt;&gt;"",I34&lt;&gt;""),IF(I34&gt;=H34,ROUNDUP((I34-H34+1)/7,0),""),"")</f>
        <v>9</v>
      </c>
      <c r="K34" s="9"/>
    </row>
    <row r="35" customFormat="false" ht="15" hidden="false" customHeight="false" outlineLevel="0" collapsed="false">
      <c r="A35" s="4" t="n">
        <v>3</v>
      </c>
      <c r="B35" s="5" t="s">
        <v>59</v>
      </c>
      <c r="C35" s="6" t="s">
        <v>60</v>
      </c>
      <c r="D35" s="5" t="s">
        <v>22</v>
      </c>
      <c r="E35" s="5" t="s">
        <v>63</v>
      </c>
      <c r="F35" s="5" t="s">
        <v>22</v>
      </c>
      <c r="G35" s="4" t="s">
        <v>24</v>
      </c>
      <c r="H35" s="7" t="n">
        <v>46214</v>
      </c>
      <c r="I35" s="7" t="n">
        <v>46221</v>
      </c>
      <c r="J35" s="6" t="n">
        <f aca="false">IF(AND(H35&lt;&gt;"",I35&lt;&gt;""),IF(I35&gt;=H35,ROUNDUP((I35-H35+1)/7,0),""),"")</f>
        <v>2</v>
      </c>
      <c r="K35" s="5"/>
    </row>
    <row r="36" customFormat="false" ht="15" hidden="false" customHeight="false" outlineLevel="0" collapsed="false">
      <c r="A36" s="8" t="n">
        <v>3</v>
      </c>
      <c r="B36" s="9" t="s">
        <v>59</v>
      </c>
      <c r="C36" s="10" t="s">
        <v>60</v>
      </c>
      <c r="D36" s="9" t="s">
        <v>22</v>
      </c>
      <c r="E36" s="9" t="s">
        <v>25</v>
      </c>
      <c r="F36" s="9" t="s">
        <v>22</v>
      </c>
      <c r="G36" s="8" t="s">
        <v>26</v>
      </c>
      <c r="H36" s="11" t="n">
        <v>46221</v>
      </c>
      <c r="I36" s="11" t="n">
        <v>46252</v>
      </c>
      <c r="J36" s="10" t="n">
        <f aca="false">IF(AND(H36&lt;&gt;"",I36&lt;&gt;""),IF(I36&gt;=H36,ROUNDUP((I36-H36+1)/7,0),""),"")</f>
        <v>5</v>
      </c>
      <c r="K36" s="9"/>
    </row>
    <row r="37" customFormat="false" ht="15" hidden="false" customHeight="false" outlineLevel="0" collapsed="false">
      <c r="A37" s="4" t="n">
        <v>3</v>
      </c>
      <c r="B37" s="5" t="s">
        <v>59</v>
      </c>
      <c r="C37" s="6" t="s">
        <v>60</v>
      </c>
      <c r="D37" s="5" t="s">
        <v>22</v>
      </c>
      <c r="E37" s="5" t="s">
        <v>64</v>
      </c>
      <c r="F37" s="5" t="s">
        <v>28</v>
      </c>
      <c r="G37" s="4" t="s">
        <v>26</v>
      </c>
      <c r="H37" s="7" t="n">
        <v>46252</v>
      </c>
      <c r="I37" s="7" t="n">
        <v>46283</v>
      </c>
      <c r="J37" s="6" t="n">
        <f aca="false">IF(AND(H37&lt;&gt;"",I37&lt;&gt;""),IF(I37&gt;=H37,ROUNDUP((I37-H37+1)/7,0),""),"")</f>
        <v>5</v>
      </c>
      <c r="K37" s="5"/>
    </row>
    <row r="38" customFormat="false" ht="15" hidden="false" customHeight="false" outlineLevel="0" collapsed="false">
      <c r="A38" s="8" t="n">
        <v>3</v>
      </c>
      <c r="B38" s="9" t="s">
        <v>59</v>
      </c>
      <c r="C38" s="10" t="s">
        <v>60</v>
      </c>
      <c r="D38" s="9" t="s">
        <v>30</v>
      </c>
      <c r="E38" s="9" t="s">
        <v>52</v>
      </c>
      <c r="F38" s="9" t="s">
        <v>32</v>
      </c>
      <c r="G38" s="8" t="s">
        <v>26</v>
      </c>
      <c r="H38" s="11" t="n">
        <v>46283</v>
      </c>
      <c r="I38" s="11" t="n">
        <v>46313</v>
      </c>
      <c r="J38" s="10" t="n">
        <f aca="false">IF(AND(H38&lt;&gt;"",I38&lt;&gt;""),IF(I38&gt;=H38,ROUNDUP((I38-H38+1)/7,0),""),"")</f>
        <v>5</v>
      </c>
      <c r="K38" s="9"/>
    </row>
    <row r="39" customFormat="false" ht="15" hidden="false" customHeight="false" outlineLevel="0" collapsed="false">
      <c r="A39" s="4" t="n">
        <v>3</v>
      </c>
      <c r="B39" s="5" t="s">
        <v>59</v>
      </c>
      <c r="C39" s="6" t="s">
        <v>60</v>
      </c>
      <c r="D39" s="5" t="s">
        <v>30</v>
      </c>
      <c r="E39" s="5" t="s">
        <v>34</v>
      </c>
      <c r="F39" s="5" t="s">
        <v>32</v>
      </c>
      <c r="G39" s="4" t="s">
        <v>26</v>
      </c>
      <c r="H39" s="7" t="n">
        <v>46313</v>
      </c>
      <c r="I39" s="7" t="n">
        <v>46323</v>
      </c>
      <c r="J39" s="6" t="n">
        <f aca="false">IF(AND(H39&lt;&gt;"",I39&lt;&gt;""),IF(I39&gt;=H39,ROUNDUP((I39-H39+1)/7,0),""),"")</f>
        <v>2</v>
      </c>
      <c r="K39" s="5"/>
    </row>
    <row r="40" customFormat="false" ht="15" hidden="false" customHeight="false" outlineLevel="0" collapsed="false">
      <c r="A40" s="8" t="n">
        <v>3</v>
      </c>
      <c r="B40" s="9" t="s">
        <v>59</v>
      </c>
      <c r="C40" s="10" t="s">
        <v>60</v>
      </c>
      <c r="D40" s="9" t="s">
        <v>35</v>
      </c>
      <c r="E40" s="9" t="s">
        <v>65</v>
      </c>
      <c r="F40" s="9" t="s">
        <v>37</v>
      </c>
      <c r="G40" s="8" t="s">
        <v>26</v>
      </c>
      <c r="H40" s="11" t="n">
        <v>46191</v>
      </c>
      <c r="I40" s="11" t="n">
        <v>46236</v>
      </c>
      <c r="J40" s="10" t="n">
        <f aca="false">IF(AND(H40&lt;&gt;"",I40&lt;&gt;""),IF(I40&gt;=H40,ROUNDUP((I40-H40+1)/7,0),""),"")</f>
        <v>7</v>
      </c>
      <c r="K40" s="9"/>
    </row>
    <row r="41" customFormat="false" ht="15" hidden="false" customHeight="false" outlineLevel="0" collapsed="false">
      <c r="A41" s="4" t="n">
        <v>3</v>
      </c>
      <c r="B41" s="5" t="s">
        <v>59</v>
      </c>
      <c r="C41" s="6" t="s">
        <v>60</v>
      </c>
      <c r="D41" s="5" t="s">
        <v>35</v>
      </c>
      <c r="E41" s="5" t="s">
        <v>66</v>
      </c>
      <c r="F41" s="5" t="s">
        <v>39</v>
      </c>
      <c r="G41" s="4" t="s">
        <v>26</v>
      </c>
      <c r="H41" s="7" t="n">
        <v>46323</v>
      </c>
      <c r="I41" s="7" t="n">
        <v>46334</v>
      </c>
      <c r="J41" s="6" t="n">
        <f aca="false">IF(AND(H41&lt;&gt;"",I41&lt;&gt;""),IF(I41&gt;=H41,ROUNDUP((I41-H41+1)/7,0),""),"")</f>
        <v>2</v>
      </c>
      <c r="K41" s="5"/>
    </row>
    <row r="42" customFormat="false" ht="15" hidden="false" customHeight="false" outlineLevel="0" collapsed="false">
      <c r="A42" s="8" t="n">
        <v>3</v>
      </c>
      <c r="B42" s="9" t="s">
        <v>59</v>
      </c>
      <c r="C42" s="10" t="s">
        <v>60</v>
      </c>
      <c r="D42" s="9" t="s">
        <v>35</v>
      </c>
      <c r="E42" s="9" t="s">
        <v>67</v>
      </c>
      <c r="F42" s="9" t="s">
        <v>39</v>
      </c>
      <c r="G42" s="8" t="s">
        <v>26</v>
      </c>
      <c r="H42" s="11" t="n">
        <v>46217</v>
      </c>
      <c r="I42" s="11" t="n">
        <v>46248</v>
      </c>
      <c r="J42" s="10" t="n">
        <f aca="false">IF(AND(H42&lt;&gt;"",I42&lt;&gt;""),IF(I42&gt;=H42,ROUNDUP((I42-H42+1)/7,0),""),"")</f>
        <v>5</v>
      </c>
      <c r="K42" s="9"/>
    </row>
    <row r="43" customFormat="false" ht="15" hidden="false" customHeight="false" outlineLevel="0" collapsed="false">
      <c r="A43" s="4" t="n">
        <v>3</v>
      </c>
      <c r="B43" s="5" t="s">
        <v>59</v>
      </c>
      <c r="C43" s="6" t="s">
        <v>60</v>
      </c>
      <c r="D43" s="5" t="s">
        <v>41</v>
      </c>
      <c r="E43" s="5" t="s">
        <v>68</v>
      </c>
      <c r="F43" s="5" t="s">
        <v>17</v>
      </c>
      <c r="G43" s="4" t="s">
        <v>26</v>
      </c>
      <c r="H43" s="7" t="n">
        <v>46334</v>
      </c>
      <c r="I43" s="7" t="n">
        <v>46344</v>
      </c>
      <c r="J43" s="6" t="n">
        <f aca="false">IF(AND(H43&lt;&gt;"",I43&lt;&gt;""),IF(I43&gt;=H43,ROUNDUP((I43-H43+1)/7,0),""),"")</f>
        <v>2</v>
      </c>
      <c r="K43" s="5"/>
    </row>
    <row r="44" customFormat="false" ht="15" hidden="false" customHeight="false" outlineLevel="0" collapsed="false">
      <c r="A44" s="8" t="n">
        <v>3</v>
      </c>
      <c r="B44" s="9" t="s">
        <v>59</v>
      </c>
      <c r="C44" s="10" t="s">
        <v>60</v>
      </c>
      <c r="D44" s="9" t="s">
        <v>41</v>
      </c>
      <c r="E44" s="9" t="s">
        <v>69</v>
      </c>
      <c r="F44" s="9" t="s">
        <v>17</v>
      </c>
      <c r="G44" s="8" t="s">
        <v>26</v>
      </c>
      <c r="H44" s="11" t="n">
        <v>46344</v>
      </c>
      <c r="I44" s="11" t="n">
        <v>46350</v>
      </c>
      <c r="J44" s="10" t="n">
        <f aca="false">IF(AND(H44&lt;&gt;"",I44&lt;&gt;""),IF(I44&gt;=H44,ROUNDUP((I44-H44+1)/7,0),""),"")</f>
        <v>1</v>
      </c>
      <c r="K44" s="9" t="s">
        <v>70</v>
      </c>
    </row>
    <row r="45" customFormat="false" ht="18" hidden="false" customHeight="true" outlineLevel="0" collapsed="false">
      <c r="A45" s="3" t="s">
        <v>71</v>
      </c>
      <c r="B45" s="3"/>
      <c r="C45" s="3"/>
      <c r="D45" s="3"/>
      <c r="E45" s="3"/>
      <c r="F45" s="3"/>
      <c r="G45" s="3"/>
      <c r="H45" s="3"/>
      <c r="I45" s="3"/>
      <c r="J45" s="3"/>
      <c r="K45" s="3"/>
    </row>
    <row r="46" customFormat="false" ht="15" hidden="false" customHeight="false" outlineLevel="0" collapsed="false">
      <c r="A46" s="4" t="n">
        <v>4</v>
      </c>
      <c r="B46" s="5" t="s">
        <v>72</v>
      </c>
      <c r="C46" s="6" t="s">
        <v>73</v>
      </c>
      <c r="D46" s="5" t="s">
        <v>15</v>
      </c>
      <c r="E46" s="5" t="s">
        <v>74</v>
      </c>
      <c r="F46" s="5" t="s">
        <v>17</v>
      </c>
      <c r="G46" s="4" t="s">
        <v>18</v>
      </c>
      <c r="H46" s="7" t="n">
        <v>46214</v>
      </c>
      <c r="I46" s="7" t="n">
        <v>46221</v>
      </c>
      <c r="J46" s="6" t="n">
        <f aca="false">IF(AND(H46&lt;&gt;"",I46&lt;&gt;""),IF(I46&gt;=H46,ROUNDUP((I46-H46+1)/7,0),""),"")</f>
        <v>2</v>
      </c>
      <c r="K46" s="5" t="s">
        <v>75</v>
      </c>
    </row>
    <row r="47" customFormat="false" ht="15" hidden="false" customHeight="false" outlineLevel="0" collapsed="false">
      <c r="A47" s="8" t="n">
        <v>4</v>
      </c>
      <c r="B47" s="9" t="s">
        <v>72</v>
      </c>
      <c r="C47" s="10" t="s">
        <v>73</v>
      </c>
      <c r="D47" s="9" t="s">
        <v>22</v>
      </c>
      <c r="E47" s="9" t="s">
        <v>76</v>
      </c>
      <c r="F47" s="9" t="s">
        <v>22</v>
      </c>
      <c r="G47" s="8" t="s">
        <v>18</v>
      </c>
      <c r="H47" s="11" t="n">
        <v>46221</v>
      </c>
      <c r="I47" s="11" t="n">
        <v>46252</v>
      </c>
      <c r="J47" s="10" t="n">
        <f aca="false">IF(AND(H47&lt;&gt;"",I47&lt;&gt;""),IF(I47&gt;=H47,ROUNDUP((I47-H47+1)/7,0),""),"")</f>
        <v>5</v>
      </c>
      <c r="K47" s="9"/>
    </row>
    <row r="48" customFormat="false" ht="15" hidden="false" customHeight="false" outlineLevel="0" collapsed="false">
      <c r="A48" s="4" t="n">
        <v>4</v>
      </c>
      <c r="B48" s="5" t="s">
        <v>72</v>
      </c>
      <c r="C48" s="6" t="s">
        <v>73</v>
      </c>
      <c r="D48" s="5" t="s">
        <v>22</v>
      </c>
      <c r="E48" s="5" t="s">
        <v>25</v>
      </c>
      <c r="F48" s="5" t="s">
        <v>22</v>
      </c>
      <c r="G48" s="4" t="s">
        <v>24</v>
      </c>
      <c r="H48" s="7" t="n">
        <v>46252</v>
      </c>
      <c r="I48" s="7" t="n">
        <v>46283</v>
      </c>
      <c r="J48" s="6" t="n">
        <f aca="false">IF(AND(H48&lt;&gt;"",I48&lt;&gt;""),IF(I48&gt;=H48,ROUNDUP((I48-H48+1)/7,0),""),"")</f>
        <v>5</v>
      </c>
      <c r="K48" s="5"/>
    </row>
    <row r="49" customFormat="false" ht="15" hidden="false" customHeight="false" outlineLevel="0" collapsed="false">
      <c r="A49" s="8" t="n">
        <v>4</v>
      </c>
      <c r="B49" s="9" t="s">
        <v>72</v>
      </c>
      <c r="C49" s="10" t="s">
        <v>73</v>
      </c>
      <c r="D49" s="9" t="s">
        <v>22</v>
      </c>
      <c r="E49" s="9" t="s">
        <v>77</v>
      </c>
      <c r="F49" s="9" t="s">
        <v>28</v>
      </c>
      <c r="G49" s="8" t="s">
        <v>26</v>
      </c>
      <c r="H49" s="11" t="n">
        <v>46283</v>
      </c>
      <c r="I49" s="11" t="n">
        <v>46313</v>
      </c>
      <c r="J49" s="10" t="n">
        <f aca="false">IF(AND(H49&lt;&gt;"",I49&lt;&gt;""),IF(I49&gt;=H49,ROUNDUP((I49-H49+1)/7,0),""),"")</f>
        <v>5</v>
      </c>
      <c r="K49" s="9"/>
    </row>
    <row r="50" customFormat="false" ht="15" hidden="false" customHeight="false" outlineLevel="0" collapsed="false">
      <c r="A50" s="4" t="n">
        <v>4</v>
      </c>
      <c r="B50" s="5" t="s">
        <v>72</v>
      </c>
      <c r="C50" s="6" t="s">
        <v>73</v>
      </c>
      <c r="D50" s="5" t="s">
        <v>30</v>
      </c>
      <c r="E50" s="5" t="s">
        <v>78</v>
      </c>
      <c r="F50" s="5" t="s">
        <v>32</v>
      </c>
      <c r="G50" s="4" t="s">
        <v>26</v>
      </c>
      <c r="H50" s="7" t="n">
        <v>46313</v>
      </c>
      <c r="I50" s="7" t="n">
        <v>46323</v>
      </c>
      <c r="J50" s="6" t="n">
        <f aca="false">IF(AND(H50&lt;&gt;"",I50&lt;&gt;""),IF(I50&gt;=H50,ROUNDUP((I50-H50+1)/7,0),""),"")</f>
        <v>2</v>
      </c>
      <c r="K50" s="5" t="s">
        <v>79</v>
      </c>
    </row>
    <row r="51" customFormat="false" ht="15" hidden="false" customHeight="false" outlineLevel="0" collapsed="false">
      <c r="A51" s="8" t="n">
        <v>4</v>
      </c>
      <c r="B51" s="9" t="s">
        <v>72</v>
      </c>
      <c r="C51" s="10" t="s">
        <v>73</v>
      </c>
      <c r="D51" s="9" t="s">
        <v>35</v>
      </c>
      <c r="E51" s="9" t="s">
        <v>80</v>
      </c>
      <c r="F51" s="9" t="s">
        <v>37</v>
      </c>
      <c r="G51" s="8" t="s">
        <v>26</v>
      </c>
      <c r="H51" s="11" t="n">
        <v>46191</v>
      </c>
      <c r="I51" s="11" t="n">
        <v>46236</v>
      </c>
      <c r="J51" s="10" t="n">
        <f aca="false">IF(AND(H51&lt;&gt;"",I51&lt;&gt;""),IF(I51&gt;=H51,ROUNDUP((I51-H51+1)/7,0),""),"")</f>
        <v>7</v>
      </c>
      <c r="K51" s="9"/>
    </row>
    <row r="52" customFormat="false" ht="15" hidden="false" customHeight="false" outlineLevel="0" collapsed="false">
      <c r="A52" s="4" t="n">
        <v>4</v>
      </c>
      <c r="B52" s="5" t="s">
        <v>72</v>
      </c>
      <c r="C52" s="6" t="s">
        <v>73</v>
      </c>
      <c r="D52" s="5" t="s">
        <v>35</v>
      </c>
      <c r="E52" s="5" t="s">
        <v>81</v>
      </c>
      <c r="F52" s="5" t="s">
        <v>39</v>
      </c>
      <c r="G52" s="4" t="s">
        <v>26</v>
      </c>
      <c r="H52" s="7" t="n">
        <v>46323</v>
      </c>
      <c r="I52" s="7" t="n">
        <v>46334</v>
      </c>
      <c r="J52" s="6" t="n">
        <f aca="false">IF(AND(H52&lt;&gt;"",I52&lt;&gt;""),IF(I52&gt;=H52,ROUNDUP((I52-H52+1)/7,0),""),"")</f>
        <v>2</v>
      </c>
      <c r="K52" s="5"/>
    </row>
    <row r="53" customFormat="false" ht="15" hidden="false" customHeight="false" outlineLevel="0" collapsed="false">
      <c r="A53" s="8" t="n">
        <v>4</v>
      </c>
      <c r="B53" s="9" t="s">
        <v>72</v>
      </c>
      <c r="C53" s="10" t="s">
        <v>73</v>
      </c>
      <c r="D53" s="9" t="s">
        <v>35</v>
      </c>
      <c r="E53" s="9" t="s">
        <v>82</v>
      </c>
      <c r="F53" s="9" t="s">
        <v>83</v>
      </c>
      <c r="G53" s="8" t="s">
        <v>26</v>
      </c>
      <c r="H53" s="11" t="n">
        <v>46217</v>
      </c>
      <c r="I53" s="11" t="n">
        <v>46248</v>
      </c>
      <c r="J53" s="10" t="n">
        <f aca="false">IF(AND(H53&lt;&gt;"",I53&lt;&gt;""),IF(I53&gt;=H53,ROUNDUP((I53-H53+1)/7,0),""),"")</f>
        <v>5</v>
      </c>
      <c r="K53" s="9"/>
    </row>
    <row r="54" customFormat="false" ht="15" hidden="false" customHeight="false" outlineLevel="0" collapsed="false">
      <c r="A54" s="4" t="n">
        <v>4</v>
      </c>
      <c r="B54" s="5" t="s">
        <v>72</v>
      </c>
      <c r="C54" s="6" t="s">
        <v>73</v>
      </c>
      <c r="D54" s="5" t="s">
        <v>41</v>
      </c>
      <c r="E54" s="5" t="s">
        <v>84</v>
      </c>
      <c r="F54" s="5" t="s">
        <v>85</v>
      </c>
      <c r="G54" s="4" t="s">
        <v>26</v>
      </c>
      <c r="H54" s="7" t="n">
        <v>46334</v>
      </c>
      <c r="I54" s="7" t="n">
        <v>46344</v>
      </c>
      <c r="J54" s="6" t="n">
        <f aca="false">IF(AND(H54&lt;&gt;"",I54&lt;&gt;""),IF(I54&gt;=H54,ROUNDUP((I54-H54+1)/7,0),""),"")</f>
        <v>2</v>
      </c>
      <c r="K54" s="5" t="s">
        <v>86</v>
      </c>
    </row>
    <row r="55" customFormat="false" ht="15" hidden="false" customHeight="false" outlineLevel="0" collapsed="false">
      <c r="A55" s="8" t="n">
        <v>4</v>
      </c>
      <c r="B55" s="9" t="s">
        <v>72</v>
      </c>
      <c r="C55" s="10" t="s">
        <v>73</v>
      </c>
      <c r="D55" s="9" t="s">
        <v>41</v>
      </c>
      <c r="E55" s="9" t="s">
        <v>87</v>
      </c>
      <c r="F55" s="9" t="s">
        <v>17</v>
      </c>
      <c r="G55" s="8" t="s">
        <v>26</v>
      </c>
      <c r="H55" s="11" t="n">
        <v>46344</v>
      </c>
      <c r="I55" s="11" t="n">
        <v>46350</v>
      </c>
      <c r="J55" s="10" t="n">
        <f aca="false">IF(AND(H55&lt;&gt;"",I55&lt;&gt;""),IF(I55&gt;=H55,ROUNDUP((I55-H55+1)/7,0),""),"")</f>
        <v>1</v>
      </c>
      <c r="K55" s="9"/>
    </row>
    <row r="56" customFormat="false" ht="18" hidden="false" customHeight="true" outlineLevel="0" collapsed="false">
      <c r="A56" s="3" t="s">
        <v>88</v>
      </c>
      <c r="B56" s="3"/>
      <c r="C56" s="3"/>
      <c r="D56" s="3"/>
      <c r="E56" s="3"/>
      <c r="F56" s="3"/>
      <c r="G56" s="3"/>
      <c r="H56" s="3"/>
      <c r="I56" s="3"/>
      <c r="J56" s="3"/>
      <c r="K56" s="3"/>
    </row>
    <row r="57" customFormat="false" ht="15" hidden="false" customHeight="false" outlineLevel="0" collapsed="false">
      <c r="A57" s="4" t="n">
        <v>5</v>
      </c>
      <c r="B57" s="5" t="s">
        <v>89</v>
      </c>
      <c r="C57" s="6" t="s">
        <v>90</v>
      </c>
      <c r="D57" s="5" t="s">
        <v>15</v>
      </c>
      <c r="E57" s="5" t="s">
        <v>91</v>
      </c>
      <c r="F57" s="5" t="s">
        <v>17</v>
      </c>
      <c r="G57" s="4" t="s">
        <v>24</v>
      </c>
      <c r="H57" s="7" t="n">
        <v>46133</v>
      </c>
      <c r="I57" s="7" t="n">
        <v>46139</v>
      </c>
      <c r="J57" s="6" t="n">
        <f aca="false">IF(AND(H57&lt;&gt;"",I57&lt;&gt;""),IF(I57&gt;=H57,ROUNDUP((I57-H57+1)/7,0),""),"")</f>
        <v>1</v>
      </c>
      <c r="K57" s="5" t="s">
        <v>92</v>
      </c>
    </row>
    <row r="58" customFormat="false" ht="15" hidden="false" customHeight="false" outlineLevel="0" collapsed="false">
      <c r="A58" s="8" t="n">
        <v>5</v>
      </c>
      <c r="B58" s="9" t="s">
        <v>89</v>
      </c>
      <c r="C58" s="10" t="s">
        <v>90</v>
      </c>
      <c r="D58" s="9" t="s">
        <v>15</v>
      </c>
      <c r="E58" s="9" t="s">
        <v>93</v>
      </c>
      <c r="F58" s="9" t="s">
        <v>17</v>
      </c>
      <c r="G58" s="8" t="s">
        <v>26</v>
      </c>
      <c r="H58" s="11" t="n">
        <v>46140</v>
      </c>
      <c r="I58" s="11" t="n">
        <v>46153</v>
      </c>
      <c r="J58" s="10" t="n">
        <f aca="false">IF(AND(H58&lt;&gt;"",I58&lt;&gt;""),IF(I58&gt;=H58,ROUNDUP((I58-H58+1)/7,0),""),"")</f>
        <v>2</v>
      </c>
      <c r="K58" s="9"/>
    </row>
    <row r="59" customFormat="false" ht="15" hidden="false" customHeight="false" outlineLevel="0" collapsed="false">
      <c r="A59" s="4" t="n">
        <v>5</v>
      </c>
      <c r="B59" s="5" t="s">
        <v>89</v>
      </c>
      <c r="C59" s="6" t="s">
        <v>90</v>
      </c>
      <c r="D59" s="5" t="s">
        <v>22</v>
      </c>
      <c r="E59" s="5" t="s">
        <v>23</v>
      </c>
      <c r="F59" s="5" t="s">
        <v>22</v>
      </c>
      <c r="G59" s="4" t="s">
        <v>26</v>
      </c>
      <c r="H59" s="7" t="n">
        <v>46140</v>
      </c>
      <c r="I59" s="7" t="n">
        <v>46153</v>
      </c>
      <c r="J59" s="6" t="n">
        <f aca="false">IF(AND(H59&lt;&gt;"",I59&lt;&gt;""),IF(I59&gt;=H59,ROUNDUP((I59-H59+1)/7,0),""),"")</f>
        <v>2</v>
      </c>
      <c r="K59" s="5"/>
    </row>
    <row r="60" customFormat="false" ht="15" hidden="false" customHeight="false" outlineLevel="0" collapsed="false">
      <c r="A60" s="8" t="n">
        <v>5</v>
      </c>
      <c r="B60" s="9" t="s">
        <v>89</v>
      </c>
      <c r="C60" s="10" t="s">
        <v>90</v>
      </c>
      <c r="D60" s="9" t="s">
        <v>22</v>
      </c>
      <c r="E60" s="9" t="s">
        <v>25</v>
      </c>
      <c r="F60" s="9" t="s">
        <v>22</v>
      </c>
      <c r="G60" s="8" t="s">
        <v>26</v>
      </c>
      <c r="H60" s="11" t="n">
        <v>46154</v>
      </c>
      <c r="I60" s="11" t="n">
        <v>46160</v>
      </c>
      <c r="J60" s="10" t="n">
        <f aca="false">IF(AND(H60&lt;&gt;"",I60&lt;&gt;""),IF(I60&gt;=H60,ROUNDUP((I60-H60+1)/7,0),""),"")</f>
        <v>1</v>
      </c>
      <c r="K60" s="9"/>
    </row>
    <row r="61" customFormat="false" ht="15" hidden="false" customHeight="false" outlineLevel="0" collapsed="false">
      <c r="A61" s="4" t="n">
        <v>5</v>
      </c>
      <c r="B61" s="5" t="s">
        <v>89</v>
      </c>
      <c r="C61" s="6" t="s">
        <v>90</v>
      </c>
      <c r="D61" s="5" t="s">
        <v>22</v>
      </c>
      <c r="E61" s="5" t="s">
        <v>94</v>
      </c>
      <c r="F61" s="5" t="s">
        <v>28</v>
      </c>
      <c r="G61" s="4" t="s">
        <v>26</v>
      </c>
      <c r="H61" s="7" t="n">
        <v>46161</v>
      </c>
      <c r="I61" s="7" t="n">
        <v>46216</v>
      </c>
      <c r="J61" s="6" t="n">
        <f aca="false">IF(AND(H61&lt;&gt;"",I61&lt;&gt;""),IF(I61&gt;=H61,ROUNDUP((I61-H61+1)/7,0),""),"")</f>
        <v>8</v>
      </c>
      <c r="K61" s="5" t="s">
        <v>95</v>
      </c>
    </row>
    <row r="62" customFormat="false" ht="15" hidden="false" customHeight="false" outlineLevel="0" collapsed="false">
      <c r="A62" s="8" t="n">
        <v>5</v>
      </c>
      <c r="B62" s="9" t="s">
        <v>89</v>
      </c>
      <c r="C62" s="10" t="s">
        <v>90</v>
      </c>
      <c r="D62" s="9" t="s">
        <v>30</v>
      </c>
      <c r="E62" s="9" t="s">
        <v>96</v>
      </c>
      <c r="F62" s="9" t="s">
        <v>32</v>
      </c>
      <c r="G62" s="8" t="s">
        <v>26</v>
      </c>
      <c r="H62" s="11" t="n">
        <v>46210</v>
      </c>
      <c r="I62" s="11" t="n">
        <v>46216</v>
      </c>
      <c r="J62" s="10" t="n">
        <f aca="false">IF(AND(H62&lt;&gt;"",I62&lt;&gt;""),IF(I62&gt;=H62,ROUNDUP((I62-H62+1)/7,0),""),"")</f>
        <v>1</v>
      </c>
      <c r="K62" s="9" t="s">
        <v>97</v>
      </c>
    </row>
    <row r="63" customFormat="false" ht="15" hidden="false" customHeight="false" outlineLevel="0" collapsed="false">
      <c r="A63" s="4" t="n">
        <v>5</v>
      </c>
      <c r="B63" s="5" t="s">
        <v>89</v>
      </c>
      <c r="C63" s="6" t="s">
        <v>90</v>
      </c>
      <c r="D63" s="5" t="s">
        <v>30</v>
      </c>
      <c r="E63" s="5" t="s">
        <v>34</v>
      </c>
      <c r="F63" s="5" t="s">
        <v>32</v>
      </c>
      <c r="G63" s="4" t="s">
        <v>26</v>
      </c>
      <c r="H63" s="7" t="n">
        <v>46217</v>
      </c>
      <c r="I63" s="7" t="n">
        <v>46223</v>
      </c>
      <c r="J63" s="6" t="n">
        <f aca="false">IF(AND(H63&lt;&gt;"",I63&lt;&gt;""),IF(I63&gt;=H63,ROUNDUP((I63-H63+1)/7,0),""),"")</f>
        <v>1</v>
      </c>
      <c r="K63" s="5"/>
    </row>
    <row r="64" customFormat="false" ht="15" hidden="false" customHeight="false" outlineLevel="0" collapsed="false">
      <c r="A64" s="8" t="n">
        <v>5</v>
      </c>
      <c r="B64" s="9" t="s">
        <v>89</v>
      </c>
      <c r="C64" s="10" t="s">
        <v>90</v>
      </c>
      <c r="D64" s="9" t="s">
        <v>35</v>
      </c>
      <c r="E64" s="9" t="s">
        <v>98</v>
      </c>
      <c r="F64" s="9" t="s">
        <v>37</v>
      </c>
      <c r="G64" s="8" t="s">
        <v>26</v>
      </c>
      <c r="H64" s="11" t="n">
        <v>46175</v>
      </c>
      <c r="I64" s="11" t="n">
        <v>46209</v>
      </c>
      <c r="J64" s="10" t="n">
        <f aca="false">IF(AND(H64&lt;&gt;"",I64&lt;&gt;""),IF(I64&gt;=H64,ROUNDUP((I64-H64+1)/7,0),""),"")</f>
        <v>5</v>
      </c>
      <c r="K64" s="9" t="s">
        <v>99</v>
      </c>
    </row>
    <row r="65" customFormat="false" ht="15" hidden="false" customHeight="false" outlineLevel="0" collapsed="false">
      <c r="A65" s="4" t="n">
        <v>5</v>
      </c>
      <c r="B65" s="5" t="s">
        <v>89</v>
      </c>
      <c r="C65" s="6" t="s">
        <v>90</v>
      </c>
      <c r="D65" s="5" t="s">
        <v>35</v>
      </c>
      <c r="E65" s="5" t="s">
        <v>100</v>
      </c>
      <c r="F65" s="5" t="s">
        <v>39</v>
      </c>
      <c r="G65" s="4" t="s">
        <v>26</v>
      </c>
      <c r="H65" s="7" t="n">
        <v>46217</v>
      </c>
      <c r="I65" s="7" t="n">
        <v>46230</v>
      </c>
      <c r="J65" s="6" t="n">
        <f aca="false">IF(AND(H65&lt;&gt;"",I65&lt;&gt;""),IF(I65&gt;=H65,ROUNDUP((I65-H65+1)/7,0),""),"")</f>
        <v>2</v>
      </c>
      <c r="K65" s="5"/>
    </row>
    <row r="66" customFormat="false" ht="15" hidden="false" customHeight="false" outlineLevel="0" collapsed="false">
      <c r="A66" s="8" t="n">
        <v>5</v>
      </c>
      <c r="B66" s="9" t="s">
        <v>89</v>
      </c>
      <c r="C66" s="10" t="s">
        <v>90</v>
      </c>
      <c r="D66" s="9" t="s">
        <v>35</v>
      </c>
      <c r="E66" s="9" t="s">
        <v>101</v>
      </c>
      <c r="F66" s="9" t="s">
        <v>39</v>
      </c>
      <c r="G66" s="8" t="s">
        <v>26</v>
      </c>
      <c r="H66" s="11" t="n">
        <v>46231</v>
      </c>
      <c r="I66" s="11" t="n">
        <v>46244</v>
      </c>
      <c r="J66" s="10" t="n">
        <f aca="false">IF(AND(H66&lt;&gt;"",I66&lt;&gt;""),IF(I66&gt;=H66,ROUNDUP((I66-H66+1)/7,0),""),"")</f>
        <v>2</v>
      </c>
      <c r="K66" s="9"/>
    </row>
    <row r="67" customFormat="false" ht="15" hidden="false" customHeight="false" outlineLevel="0" collapsed="false">
      <c r="A67" s="4" t="n">
        <v>5</v>
      </c>
      <c r="B67" s="5" t="s">
        <v>89</v>
      </c>
      <c r="C67" s="6" t="s">
        <v>90</v>
      </c>
      <c r="D67" s="5" t="s">
        <v>41</v>
      </c>
      <c r="E67" s="5" t="s">
        <v>102</v>
      </c>
      <c r="F67" s="5" t="s">
        <v>17</v>
      </c>
      <c r="G67" s="4" t="s">
        <v>26</v>
      </c>
      <c r="H67" s="7" t="n">
        <v>46245</v>
      </c>
      <c r="I67" s="7" t="n">
        <v>46251</v>
      </c>
      <c r="J67" s="6" t="n">
        <f aca="false">IF(AND(H67&lt;&gt;"",I67&lt;&gt;""),IF(I67&gt;=H67,ROUNDUP((I67-H67+1)/7,0),""),"")</f>
        <v>1</v>
      </c>
      <c r="K67" s="5" t="s">
        <v>103</v>
      </c>
    </row>
    <row r="68" customFormat="false" ht="15" hidden="false" customHeight="false" outlineLevel="0" collapsed="false">
      <c r="A68" s="8" t="n">
        <v>5</v>
      </c>
      <c r="B68" s="9" t="s">
        <v>89</v>
      </c>
      <c r="C68" s="10" t="s">
        <v>90</v>
      </c>
      <c r="D68" s="9" t="s">
        <v>41</v>
      </c>
      <c r="E68" s="9" t="s">
        <v>104</v>
      </c>
      <c r="F68" s="9" t="s">
        <v>85</v>
      </c>
      <c r="G68" s="8" t="s">
        <v>26</v>
      </c>
      <c r="H68" s="11" t="n">
        <v>46252</v>
      </c>
      <c r="I68" s="11" t="n">
        <v>46258</v>
      </c>
      <c r="J68" s="10" t="n">
        <f aca="false">IF(AND(H68&lt;&gt;"",I68&lt;&gt;""),IF(I68&gt;=H68,ROUNDUP((I68-H68+1)/7,0),""),"")</f>
        <v>1</v>
      </c>
      <c r="K68" s="9" t="s">
        <v>105</v>
      </c>
    </row>
    <row r="69" customFormat="false" ht="18" hidden="false" customHeight="true" outlineLevel="0" collapsed="false">
      <c r="A69" s="3" t="s">
        <v>106</v>
      </c>
      <c r="B69" s="3"/>
      <c r="C69" s="3"/>
      <c r="D69" s="3"/>
      <c r="E69" s="3"/>
      <c r="F69" s="3"/>
      <c r="G69" s="3"/>
      <c r="H69" s="3"/>
      <c r="I69" s="3"/>
      <c r="J69" s="3"/>
      <c r="K69" s="3"/>
    </row>
    <row r="70" customFormat="false" ht="15" hidden="false" customHeight="false" outlineLevel="0" collapsed="false">
      <c r="A70" s="4" t="n">
        <v>6</v>
      </c>
      <c r="B70" s="5" t="s">
        <v>107</v>
      </c>
      <c r="C70" s="6" t="s">
        <v>108</v>
      </c>
      <c r="D70" s="5" t="s">
        <v>15</v>
      </c>
      <c r="E70" s="5" t="s">
        <v>109</v>
      </c>
      <c r="F70" s="5" t="s">
        <v>17</v>
      </c>
      <c r="G70" s="4" t="s">
        <v>18</v>
      </c>
      <c r="H70" s="7" t="n">
        <v>46133</v>
      </c>
      <c r="I70" s="7" t="n">
        <v>46146</v>
      </c>
      <c r="J70" s="6" t="n">
        <f aca="false">IF(AND(H70&lt;&gt;"",I70&lt;&gt;""),IF(I70&gt;=H70,ROUNDUP((I70-H70+1)/7,0),""),"")</f>
        <v>2</v>
      </c>
      <c r="K70" s="5" t="s">
        <v>110</v>
      </c>
    </row>
    <row r="71" customFormat="false" ht="15" hidden="false" customHeight="false" outlineLevel="0" collapsed="false">
      <c r="A71" s="8" t="n">
        <v>6</v>
      </c>
      <c r="B71" s="9" t="s">
        <v>107</v>
      </c>
      <c r="C71" s="10" t="s">
        <v>108</v>
      </c>
      <c r="D71" s="9" t="s">
        <v>15</v>
      </c>
      <c r="E71" s="9" t="s">
        <v>111</v>
      </c>
      <c r="F71" s="9" t="s">
        <v>17</v>
      </c>
      <c r="G71" s="8" t="s">
        <v>18</v>
      </c>
      <c r="H71" s="11" t="n">
        <v>46140</v>
      </c>
      <c r="I71" s="11" t="n">
        <v>46153</v>
      </c>
      <c r="J71" s="10" t="n">
        <f aca="false">IF(AND(H71&lt;&gt;"",I71&lt;&gt;""),IF(I71&gt;=H71,ROUNDUP((I71-H71+1)/7,0),""),"")</f>
        <v>2</v>
      </c>
      <c r="K71" s="9"/>
    </row>
    <row r="72" customFormat="false" ht="15" hidden="false" customHeight="false" outlineLevel="0" collapsed="false">
      <c r="A72" s="4" t="n">
        <v>6</v>
      </c>
      <c r="B72" s="5" t="s">
        <v>107</v>
      </c>
      <c r="C72" s="6" t="s">
        <v>108</v>
      </c>
      <c r="D72" s="5" t="s">
        <v>22</v>
      </c>
      <c r="E72" s="5" t="s">
        <v>112</v>
      </c>
      <c r="F72" s="5" t="s">
        <v>22</v>
      </c>
      <c r="G72" s="4" t="s">
        <v>24</v>
      </c>
      <c r="H72" s="7" t="n">
        <v>46153</v>
      </c>
      <c r="I72" s="7" t="n">
        <v>46214</v>
      </c>
      <c r="J72" s="6" t="n">
        <f aca="false">IF(AND(H72&lt;&gt;"",I72&lt;&gt;""),IF(I72&gt;=H72,ROUNDUP((I72-H72+1)/7,0),""),"")</f>
        <v>9</v>
      </c>
      <c r="K72" s="5"/>
    </row>
    <row r="73" customFormat="false" ht="15" hidden="false" customHeight="false" outlineLevel="0" collapsed="false">
      <c r="A73" s="8" t="n">
        <v>6</v>
      </c>
      <c r="B73" s="9" t="s">
        <v>107</v>
      </c>
      <c r="C73" s="10" t="s">
        <v>108</v>
      </c>
      <c r="D73" s="9" t="s">
        <v>22</v>
      </c>
      <c r="E73" s="9" t="s">
        <v>25</v>
      </c>
      <c r="F73" s="9" t="s">
        <v>22</v>
      </c>
      <c r="G73" s="8" t="s">
        <v>26</v>
      </c>
      <c r="H73" s="11" t="n">
        <v>46214</v>
      </c>
      <c r="I73" s="11" t="n">
        <v>46221</v>
      </c>
      <c r="J73" s="10" t="n">
        <f aca="false">IF(AND(H73&lt;&gt;"",I73&lt;&gt;""),IF(I73&gt;=H73,ROUNDUP((I73-H73+1)/7,0),""),"")</f>
        <v>2</v>
      </c>
      <c r="K73" s="9"/>
    </row>
    <row r="74" customFormat="false" ht="15" hidden="false" customHeight="false" outlineLevel="0" collapsed="false">
      <c r="A74" s="4" t="n">
        <v>6</v>
      </c>
      <c r="B74" s="5" t="s">
        <v>107</v>
      </c>
      <c r="C74" s="6" t="s">
        <v>108</v>
      </c>
      <c r="D74" s="5" t="s">
        <v>22</v>
      </c>
      <c r="E74" s="5" t="s">
        <v>77</v>
      </c>
      <c r="F74" s="5" t="s">
        <v>28</v>
      </c>
      <c r="G74" s="4" t="s">
        <v>26</v>
      </c>
      <c r="H74" s="7" t="n">
        <v>46221</v>
      </c>
      <c r="I74" s="7" t="n">
        <v>46252</v>
      </c>
      <c r="J74" s="6" t="n">
        <f aca="false">IF(AND(H74&lt;&gt;"",I74&lt;&gt;""),IF(I74&gt;=H74,ROUNDUP((I74-H74+1)/7,0),""),"")</f>
        <v>5</v>
      </c>
      <c r="K74" s="5"/>
    </row>
    <row r="75" customFormat="false" ht="15" hidden="false" customHeight="false" outlineLevel="0" collapsed="false">
      <c r="A75" s="8" t="n">
        <v>6</v>
      </c>
      <c r="B75" s="9" t="s">
        <v>107</v>
      </c>
      <c r="C75" s="10" t="s">
        <v>108</v>
      </c>
      <c r="D75" s="9" t="s">
        <v>30</v>
      </c>
      <c r="E75" s="9" t="s">
        <v>52</v>
      </c>
      <c r="F75" s="9" t="s">
        <v>32</v>
      </c>
      <c r="G75" s="8" t="s">
        <v>26</v>
      </c>
      <c r="H75" s="11" t="n">
        <v>46252</v>
      </c>
      <c r="I75" s="11" t="n">
        <v>46283</v>
      </c>
      <c r="J75" s="10" t="n">
        <f aca="false">IF(AND(H75&lt;&gt;"",I75&lt;&gt;""),IF(I75&gt;=H75,ROUNDUP((I75-H75+1)/7,0),""),"")</f>
        <v>5</v>
      </c>
      <c r="K75" s="9"/>
    </row>
    <row r="76" customFormat="false" ht="15" hidden="false" customHeight="false" outlineLevel="0" collapsed="false">
      <c r="A76" s="4" t="n">
        <v>6</v>
      </c>
      <c r="B76" s="5" t="s">
        <v>107</v>
      </c>
      <c r="C76" s="6" t="s">
        <v>108</v>
      </c>
      <c r="D76" s="5" t="s">
        <v>30</v>
      </c>
      <c r="E76" s="5" t="s">
        <v>33</v>
      </c>
      <c r="F76" s="5" t="s">
        <v>32</v>
      </c>
      <c r="G76" s="4" t="s">
        <v>26</v>
      </c>
      <c r="H76" s="7" t="n">
        <v>46283</v>
      </c>
      <c r="I76" s="7" t="n">
        <v>46313</v>
      </c>
      <c r="J76" s="6" t="n">
        <f aca="false">IF(AND(H76&lt;&gt;"",I76&lt;&gt;""),IF(I76&gt;=H76,ROUNDUP((I76-H76+1)/7,0),""),"")</f>
        <v>5</v>
      </c>
      <c r="K76" s="5"/>
    </row>
    <row r="77" customFormat="false" ht="15" hidden="false" customHeight="false" outlineLevel="0" collapsed="false">
      <c r="A77" s="8" t="n">
        <v>6</v>
      </c>
      <c r="B77" s="9" t="s">
        <v>107</v>
      </c>
      <c r="C77" s="10" t="s">
        <v>108</v>
      </c>
      <c r="D77" s="9" t="s">
        <v>30</v>
      </c>
      <c r="E77" s="9" t="s">
        <v>34</v>
      </c>
      <c r="F77" s="9" t="s">
        <v>32</v>
      </c>
      <c r="G77" s="8" t="s">
        <v>26</v>
      </c>
      <c r="H77" s="11" t="n">
        <v>46313</v>
      </c>
      <c r="I77" s="11" t="n">
        <v>46323</v>
      </c>
      <c r="J77" s="10" t="n">
        <f aca="false">IF(AND(H77&lt;&gt;"",I77&lt;&gt;""),IF(I77&gt;=H77,ROUNDUP((I77-H77+1)/7,0),""),"")</f>
        <v>2</v>
      </c>
      <c r="K77" s="9"/>
    </row>
    <row r="78" customFormat="false" ht="15" hidden="false" customHeight="false" outlineLevel="0" collapsed="false">
      <c r="A78" s="4" t="n">
        <v>6</v>
      </c>
      <c r="B78" s="5" t="s">
        <v>107</v>
      </c>
      <c r="C78" s="6" t="s">
        <v>108</v>
      </c>
      <c r="D78" s="5" t="s">
        <v>35</v>
      </c>
      <c r="E78" s="5" t="s">
        <v>113</v>
      </c>
      <c r="F78" s="5" t="s">
        <v>37</v>
      </c>
      <c r="G78" s="4" t="s">
        <v>26</v>
      </c>
      <c r="H78" s="7" t="n">
        <v>46191</v>
      </c>
      <c r="I78" s="7" t="n">
        <v>46236</v>
      </c>
      <c r="J78" s="6" t="n">
        <f aca="false">IF(AND(H78&lt;&gt;"",I78&lt;&gt;""),IF(I78&gt;=H78,ROUNDUP((I78-H78+1)/7,0),""),"")</f>
        <v>7</v>
      </c>
      <c r="K78" s="5"/>
    </row>
    <row r="79" customFormat="false" ht="15" hidden="false" customHeight="false" outlineLevel="0" collapsed="false">
      <c r="A79" s="8" t="n">
        <v>6</v>
      </c>
      <c r="B79" s="9" t="s">
        <v>107</v>
      </c>
      <c r="C79" s="10" t="s">
        <v>108</v>
      </c>
      <c r="D79" s="9" t="s">
        <v>35</v>
      </c>
      <c r="E79" s="9" t="s">
        <v>114</v>
      </c>
      <c r="F79" s="9" t="s">
        <v>115</v>
      </c>
      <c r="G79" s="8" t="s">
        <v>26</v>
      </c>
      <c r="H79" s="11" t="n">
        <v>46323</v>
      </c>
      <c r="I79" s="11" t="n">
        <v>46334</v>
      </c>
      <c r="J79" s="10" t="n">
        <f aca="false">IF(AND(H79&lt;&gt;"",I79&lt;&gt;""),IF(I79&gt;=H79,ROUNDUP((I79-H79+1)/7,0),""),"")</f>
        <v>2</v>
      </c>
      <c r="K79" s="9" t="s">
        <v>116</v>
      </c>
    </row>
    <row r="80" customFormat="false" ht="15" hidden="false" customHeight="false" outlineLevel="0" collapsed="false">
      <c r="A80" s="4" t="n">
        <v>6</v>
      </c>
      <c r="B80" s="5" t="s">
        <v>107</v>
      </c>
      <c r="C80" s="6" t="s">
        <v>108</v>
      </c>
      <c r="D80" s="5" t="s">
        <v>35</v>
      </c>
      <c r="E80" s="5" t="s">
        <v>117</v>
      </c>
      <c r="F80" s="5" t="s">
        <v>83</v>
      </c>
      <c r="G80" s="4" t="s">
        <v>26</v>
      </c>
      <c r="H80" s="7" t="n">
        <v>46217</v>
      </c>
      <c r="I80" s="7" t="n">
        <v>46248</v>
      </c>
      <c r="J80" s="6" t="n">
        <f aca="false">IF(AND(H80&lt;&gt;"",I80&lt;&gt;""),IF(I80&gt;=H80,ROUNDUP((I80-H80+1)/7,0),""),"")</f>
        <v>5</v>
      </c>
      <c r="K80" s="5"/>
    </row>
    <row r="81" customFormat="false" ht="15" hidden="false" customHeight="false" outlineLevel="0" collapsed="false">
      <c r="A81" s="8" t="n">
        <v>6</v>
      </c>
      <c r="B81" s="9" t="s">
        <v>107</v>
      </c>
      <c r="C81" s="10" t="s">
        <v>108</v>
      </c>
      <c r="D81" s="9" t="s">
        <v>41</v>
      </c>
      <c r="E81" s="9" t="s">
        <v>118</v>
      </c>
      <c r="F81" s="9" t="s">
        <v>17</v>
      </c>
      <c r="G81" s="8" t="s">
        <v>26</v>
      </c>
      <c r="H81" s="11" t="n">
        <v>46334</v>
      </c>
      <c r="I81" s="11" t="n">
        <v>46344</v>
      </c>
      <c r="J81" s="10" t="n">
        <f aca="false">IF(AND(H81&lt;&gt;"",I81&lt;&gt;""),IF(I81&gt;=H81,ROUNDUP((I81-H81+1)/7,0),""),"")</f>
        <v>2</v>
      </c>
      <c r="K81" s="9" t="s">
        <v>119</v>
      </c>
    </row>
    <row r="82" customFormat="false" ht="15" hidden="false" customHeight="false" outlineLevel="0" collapsed="false">
      <c r="A82" s="4" t="n">
        <v>6</v>
      </c>
      <c r="B82" s="5" t="s">
        <v>107</v>
      </c>
      <c r="C82" s="6" t="s">
        <v>108</v>
      </c>
      <c r="D82" s="5" t="s">
        <v>41</v>
      </c>
      <c r="E82" s="5" t="s">
        <v>120</v>
      </c>
      <c r="F82" s="5" t="s">
        <v>85</v>
      </c>
      <c r="G82" s="4" t="s">
        <v>26</v>
      </c>
      <c r="H82" s="7" t="n">
        <v>46344</v>
      </c>
      <c r="I82" s="7" t="n">
        <v>46350</v>
      </c>
      <c r="J82" s="6" t="n">
        <f aca="false">IF(AND(H82&lt;&gt;"",I82&lt;&gt;""),IF(I82&gt;=H82,ROUNDUP((I82-H82+1)/7,0),""),"")</f>
        <v>1</v>
      </c>
      <c r="K82" s="5" t="s">
        <v>121</v>
      </c>
    </row>
    <row r="83" customFormat="false" ht="15" hidden="false" customHeight="false" outlineLevel="0" collapsed="false">
      <c r="A83" s="8" t="n">
        <v>6</v>
      </c>
      <c r="B83" s="9" t="s">
        <v>107</v>
      </c>
      <c r="C83" s="10" t="s">
        <v>108</v>
      </c>
      <c r="D83" s="9" t="s">
        <v>41</v>
      </c>
      <c r="E83" s="9" t="s">
        <v>122</v>
      </c>
      <c r="F83" s="9" t="s">
        <v>17</v>
      </c>
      <c r="G83" s="8" t="s">
        <v>26</v>
      </c>
      <c r="H83" s="11" t="n">
        <v>46344</v>
      </c>
      <c r="I83" s="11" t="n">
        <v>46350</v>
      </c>
      <c r="J83" s="10" t="n">
        <f aca="false">IF(AND(H83&lt;&gt;"",I83&lt;&gt;""),IF(I83&gt;=H83,ROUNDUP((I83-H83+1)/7,0),""),"")</f>
        <v>1</v>
      </c>
      <c r="K83" s="9"/>
    </row>
    <row r="84" customFormat="false" ht="18" hidden="false" customHeight="true" outlineLevel="0" collapsed="false">
      <c r="A84" s="3" t="s">
        <v>123</v>
      </c>
      <c r="B84" s="3"/>
      <c r="C84" s="3"/>
      <c r="D84" s="3"/>
      <c r="E84" s="3"/>
      <c r="F84" s="3"/>
      <c r="G84" s="3"/>
      <c r="H84" s="3"/>
      <c r="I84" s="3"/>
      <c r="J84" s="3"/>
      <c r="K84" s="3"/>
    </row>
    <row r="85" customFormat="false" ht="22.35" hidden="false" customHeight="false" outlineLevel="0" collapsed="false">
      <c r="A85" s="4" t="n">
        <v>7</v>
      </c>
      <c r="B85" s="5" t="s">
        <v>124</v>
      </c>
      <c r="C85" s="6" t="s">
        <v>125</v>
      </c>
      <c r="D85" s="5" t="s">
        <v>15</v>
      </c>
      <c r="E85" s="5" t="s">
        <v>16</v>
      </c>
      <c r="F85" s="5" t="s">
        <v>17</v>
      </c>
      <c r="G85" s="4" t="s">
        <v>18</v>
      </c>
      <c r="H85" s="7" t="n">
        <v>46133</v>
      </c>
      <c r="I85" s="7" t="n">
        <v>46146</v>
      </c>
      <c r="J85" s="6" t="n">
        <f aca="false">IF(AND(H85&lt;&gt;"",I85&lt;&gt;""),IF(I85&gt;=H85,ROUNDUP((I85-H85+1)/7,0),""),"")</f>
        <v>2</v>
      </c>
      <c r="K85" s="5"/>
    </row>
    <row r="86" customFormat="false" ht="22.35" hidden="false" customHeight="false" outlineLevel="0" collapsed="false">
      <c r="A86" s="8" t="n">
        <v>7</v>
      </c>
      <c r="B86" s="9" t="s">
        <v>124</v>
      </c>
      <c r="C86" s="10" t="s">
        <v>125</v>
      </c>
      <c r="D86" s="9" t="s">
        <v>15</v>
      </c>
      <c r="E86" s="9" t="s">
        <v>20</v>
      </c>
      <c r="F86" s="9" t="s">
        <v>17</v>
      </c>
      <c r="G86" s="8" t="s">
        <v>18</v>
      </c>
      <c r="H86" s="11" t="n">
        <v>46140</v>
      </c>
      <c r="I86" s="11" t="n">
        <v>46153</v>
      </c>
      <c r="J86" s="10" t="n">
        <f aca="false">IF(AND(H86&lt;&gt;"",I86&lt;&gt;""),IF(I86&gt;=H86,ROUNDUP((I86-H86+1)/7,0),""),"")</f>
        <v>2</v>
      </c>
      <c r="K86" s="9" t="s">
        <v>21</v>
      </c>
    </row>
    <row r="87" customFormat="false" ht="22.35" hidden="false" customHeight="false" outlineLevel="0" collapsed="false">
      <c r="A87" s="4" t="n">
        <v>7</v>
      </c>
      <c r="B87" s="5" t="s">
        <v>124</v>
      </c>
      <c r="C87" s="6" t="s">
        <v>125</v>
      </c>
      <c r="D87" s="5" t="s">
        <v>22</v>
      </c>
      <c r="E87" s="5" t="s">
        <v>23</v>
      </c>
      <c r="F87" s="5" t="s">
        <v>22</v>
      </c>
      <c r="G87" s="4" t="s">
        <v>18</v>
      </c>
      <c r="H87" s="7" t="n">
        <v>46153</v>
      </c>
      <c r="I87" s="7" t="n">
        <v>46154</v>
      </c>
      <c r="J87" s="6" t="n">
        <f aca="false">IF(AND(H87&lt;&gt;"",I87&lt;&gt;""),IF(I87&gt;=H87,ROUNDUP((I87-H87+1)/7,0),""),"")</f>
        <v>1</v>
      </c>
      <c r="K87" s="5"/>
    </row>
    <row r="88" customFormat="false" ht="22.35" hidden="false" customHeight="false" outlineLevel="0" collapsed="false">
      <c r="A88" s="8" t="n">
        <v>7</v>
      </c>
      <c r="B88" s="9" t="s">
        <v>124</v>
      </c>
      <c r="C88" s="10" t="s">
        <v>125</v>
      </c>
      <c r="D88" s="9" t="s">
        <v>22</v>
      </c>
      <c r="E88" s="9" t="s">
        <v>25</v>
      </c>
      <c r="F88" s="9" t="s">
        <v>22</v>
      </c>
      <c r="G88" s="8" t="s">
        <v>18</v>
      </c>
      <c r="H88" s="11" t="n">
        <v>46184</v>
      </c>
      <c r="I88" s="11" t="n">
        <v>46187</v>
      </c>
      <c r="J88" s="10" t="n">
        <f aca="false">IF(AND(H88&lt;&gt;"",I88&lt;&gt;""),IF(I88&gt;=H88,ROUNDUP((I88-H88+1)/7,0),""),"")</f>
        <v>1</v>
      </c>
      <c r="K88" s="9"/>
    </row>
    <row r="89" customFormat="false" ht="22.35" hidden="false" customHeight="false" outlineLevel="0" collapsed="false">
      <c r="A89" s="4" t="n">
        <v>7</v>
      </c>
      <c r="B89" s="5" t="s">
        <v>124</v>
      </c>
      <c r="C89" s="6" t="s">
        <v>125</v>
      </c>
      <c r="D89" s="5" t="s">
        <v>22</v>
      </c>
      <c r="E89" s="5" t="s">
        <v>27</v>
      </c>
      <c r="F89" s="5" t="s">
        <v>28</v>
      </c>
      <c r="G89" s="4" t="s">
        <v>26</v>
      </c>
      <c r="H89" s="7" t="n">
        <v>46204</v>
      </c>
      <c r="I89" s="7" t="n">
        <v>46283</v>
      </c>
      <c r="J89" s="6" t="n">
        <f aca="false">IF(AND(H89&lt;&gt;"",I89&lt;&gt;""),IF(I89&gt;=H89,ROUNDUP((I89-H89+1)/7,0),""),"")</f>
        <v>12</v>
      </c>
      <c r="K89" s="5" t="s">
        <v>29</v>
      </c>
    </row>
    <row r="90" customFormat="false" ht="22.35" hidden="false" customHeight="false" outlineLevel="0" collapsed="false">
      <c r="A90" s="8" t="n">
        <v>7</v>
      </c>
      <c r="B90" s="9" t="s">
        <v>124</v>
      </c>
      <c r="C90" s="10" t="s">
        <v>125</v>
      </c>
      <c r="D90" s="9" t="s">
        <v>30</v>
      </c>
      <c r="E90" s="9" t="s">
        <v>34</v>
      </c>
      <c r="F90" s="9" t="s">
        <v>32</v>
      </c>
      <c r="G90" s="8" t="s">
        <v>26</v>
      </c>
      <c r="H90" s="11" t="n">
        <v>46283</v>
      </c>
      <c r="I90" s="11" t="n">
        <v>46285</v>
      </c>
      <c r="J90" s="10" t="n">
        <f aca="false">IF(AND(H90&lt;&gt;"",I90&lt;&gt;""),IF(I90&gt;=H90,ROUNDUP((I90-H90+1)/7,0),""),"")</f>
        <v>1</v>
      </c>
      <c r="K90" s="9"/>
    </row>
    <row r="91" customFormat="false" ht="22.35" hidden="false" customHeight="false" outlineLevel="0" collapsed="false">
      <c r="A91" s="4" t="n">
        <v>7</v>
      </c>
      <c r="B91" s="5" t="s">
        <v>124</v>
      </c>
      <c r="C91" s="6" t="s">
        <v>125</v>
      </c>
      <c r="D91" s="5" t="s">
        <v>35</v>
      </c>
      <c r="E91" s="5" t="s">
        <v>36</v>
      </c>
      <c r="F91" s="5" t="s">
        <v>37</v>
      </c>
      <c r="G91" s="4" t="s">
        <v>26</v>
      </c>
      <c r="H91" s="7" t="n">
        <v>46191</v>
      </c>
      <c r="I91" s="7" t="n">
        <v>46236</v>
      </c>
      <c r="J91" s="6" t="n">
        <f aca="false">IF(AND(H91&lt;&gt;"",I91&lt;&gt;""),IF(I91&gt;=H91,ROUNDUP((I91-H91+1)/7,0),""),"")</f>
        <v>7</v>
      </c>
      <c r="K91" s="5"/>
    </row>
    <row r="92" customFormat="false" ht="22.35" hidden="false" customHeight="false" outlineLevel="0" collapsed="false">
      <c r="A92" s="8" t="n">
        <v>7</v>
      </c>
      <c r="B92" s="9" t="s">
        <v>124</v>
      </c>
      <c r="C92" s="10" t="s">
        <v>125</v>
      </c>
      <c r="D92" s="9" t="s">
        <v>35</v>
      </c>
      <c r="E92" s="9" t="s">
        <v>38</v>
      </c>
      <c r="F92" s="9" t="s">
        <v>39</v>
      </c>
      <c r="G92" s="8" t="s">
        <v>26</v>
      </c>
      <c r="H92" s="11" t="n">
        <v>46195</v>
      </c>
      <c r="I92" s="11" t="n">
        <v>46287</v>
      </c>
      <c r="J92" s="10" t="n">
        <f aca="false">IF(AND(H92&lt;&gt;"",I92&lt;&gt;""),IF(I92&gt;=H92,ROUNDUP((I92-H92+1)/7,0),""),"")</f>
        <v>14</v>
      </c>
      <c r="K92" s="9"/>
    </row>
    <row r="93" customFormat="false" ht="22.35" hidden="false" customHeight="false" outlineLevel="0" collapsed="false">
      <c r="A93" s="4" t="n">
        <v>7</v>
      </c>
      <c r="B93" s="5" t="s">
        <v>124</v>
      </c>
      <c r="C93" s="6" t="s">
        <v>125</v>
      </c>
      <c r="D93" s="5" t="s">
        <v>35</v>
      </c>
      <c r="E93" s="5" t="s">
        <v>40</v>
      </c>
      <c r="F93" s="5" t="s">
        <v>39</v>
      </c>
      <c r="G93" s="4" t="s">
        <v>26</v>
      </c>
      <c r="H93" s="7" t="n">
        <v>46217</v>
      </c>
      <c r="I93" s="7" t="n">
        <v>46248</v>
      </c>
      <c r="J93" s="6" t="n">
        <f aca="false">IF(AND(H93&lt;&gt;"",I93&lt;&gt;""),IF(I93&gt;=H93,ROUNDUP((I93-H93+1)/7,0),""),"")</f>
        <v>5</v>
      </c>
      <c r="K93" s="5"/>
    </row>
    <row r="94" customFormat="false" ht="22.35" hidden="false" customHeight="false" outlineLevel="0" collapsed="false">
      <c r="A94" s="8" t="n">
        <v>7</v>
      </c>
      <c r="B94" s="9" t="s">
        <v>124</v>
      </c>
      <c r="C94" s="10" t="s">
        <v>125</v>
      </c>
      <c r="D94" s="9" t="s">
        <v>41</v>
      </c>
      <c r="E94" s="9" t="s">
        <v>42</v>
      </c>
      <c r="F94" s="9" t="s">
        <v>17</v>
      </c>
      <c r="G94" s="8" t="s">
        <v>26</v>
      </c>
      <c r="H94" s="11" t="n">
        <v>46334</v>
      </c>
      <c r="I94" s="11" t="n">
        <v>46344</v>
      </c>
      <c r="J94" s="10" t="n">
        <f aca="false">IF(AND(H94&lt;&gt;"",I94&lt;&gt;""),IF(I94&gt;=H94,ROUNDUP((I94-H94+1)/7,0),""),"")</f>
        <v>2</v>
      </c>
      <c r="K94" s="9" t="s">
        <v>43</v>
      </c>
    </row>
    <row r="95" customFormat="false" ht="22.35" hidden="false" customHeight="false" outlineLevel="0" collapsed="false">
      <c r="A95" s="4" t="n">
        <v>7</v>
      </c>
      <c r="B95" s="5" t="s">
        <v>124</v>
      </c>
      <c r="C95" s="6" t="s">
        <v>125</v>
      </c>
      <c r="D95" s="5" t="s">
        <v>41</v>
      </c>
      <c r="E95" s="5" t="s">
        <v>44</v>
      </c>
      <c r="F95" s="5" t="s">
        <v>17</v>
      </c>
      <c r="G95" s="4" t="s">
        <v>26</v>
      </c>
      <c r="H95" s="7" t="n">
        <v>46344</v>
      </c>
      <c r="I95" s="7" t="n">
        <v>46350</v>
      </c>
      <c r="J95" s="6" t="n">
        <f aca="false">IF(AND(H95&lt;&gt;"",I95&lt;&gt;""),IF(I95&gt;=H95,ROUNDUP((I95-H95+1)/7,0),""),"")</f>
        <v>1</v>
      </c>
      <c r="K95" s="5"/>
    </row>
    <row r="96" customFormat="false" ht="22.35" hidden="false" customHeight="false" outlineLevel="0" collapsed="false">
      <c r="A96" s="8" t="n">
        <v>7</v>
      </c>
      <c r="B96" s="9" t="s">
        <v>124</v>
      </c>
      <c r="C96" s="10" t="s">
        <v>125</v>
      </c>
      <c r="D96" s="9" t="s">
        <v>41</v>
      </c>
      <c r="E96" s="9" t="s">
        <v>45</v>
      </c>
      <c r="F96" s="9" t="s">
        <v>17</v>
      </c>
      <c r="G96" s="8" t="s">
        <v>26</v>
      </c>
      <c r="H96" s="11" t="n">
        <v>46344</v>
      </c>
      <c r="I96" s="11" t="n">
        <v>46350</v>
      </c>
      <c r="J96" s="10" t="n">
        <f aca="false">IF(AND(H96&lt;&gt;"",I96&lt;&gt;""),IF(I96&gt;=H96,ROUNDUP((I96-H96+1)/7,0),""),"")</f>
        <v>1</v>
      </c>
      <c r="K96" s="9" t="s">
        <v>46</v>
      </c>
    </row>
    <row r="97" customFormat="false" ht="18" hidden="false" customHeight="true" outlineLevel="0" collapsed="false">
      <c r="A97" s="3" t="s">
        <v>126</v>
      </c>
      <c r="B97" s="3"/>
      <c r="C97" s="3"/>
      <c r="D97" s="3"/>
      <c r="E97" s="3"/>
      <c r="F97" s="3"/>
      <c r="G97" s="3"/>
      <c r="H97" s="3"/>
      <c r="I97" s="3"/>
      <c r="J97" s="3"/>
      <c r="K97" s="3"/>
    </row>
    <row r="98" customFormat="false" ht="15" hidden="false" customHeight="false" outlineLevel="0" collapsed="false">
      <c r="A98" s="4" t="n">
        <v>8</v>
      </c>
      <c r="B98" s="5" t="s">
        <v>127</v>
      </c>
      <c r="C98" s="6" t="s">
        <v>128</v>
      </c>
      <c r="D98" s="5" t="s">
        <v>15</v>
      </c>
      <c r="E98" s="5" t="s">
        <v>16</v>
      </c>
      <c r="F98" s="5" t="s">
        <v>17</v>
      </c>
      <c r="G98" s="4" t="s">
        <v>18</v>
      </c>
      <c r="H98" s="7" t="n">
        <v>46133</v>
      </c>
      <c r="I98" s="7" t="n">
        <v>46146</v>
      </c>
      <c r="J98" s="6" t="n">
        <f aca="false">IF(AND(H98&lt;&gt;"",I98&lt;&gt;""),IF(I98&gt;=H98,ROUNDUP((I98-H98+1)/7,0),""),"")</f>
        <v>2</v>
      </c>
      <c r="K98" s="5"/>
    </row>
    <row r="99" customFormat="false" ht="15" hidden="false" customHeight="false" outlineLevel="0" collapsed="false">
      <c r="A99" s="8" t="n">
        <v>8</v>
      </c>
      <c r="B99" s="9" t="s">
        <v>127</v>
      </c>
      <c r="C99" s="10" t="s">
        <v>128</v>
      </c>
      <c r="D99" s="9" t="s">
        <v>15</v>
      </c>
      <c r="E99" s="9" t="s">
        <v>20</v>
      </c>
      <c r="F99" s="9" t="s">
        <v>17</v>
      </c>
      <c r="G99" s="8" t="s">
        <v>18</v>
      </c>
      <c r="H99" s="11" t="n">
        <v>46201</v>
      </c>
      <c r="I99" s="11" t="n">
        <v>46214</v>
      </c>
      <c r="J99" s="10" t="n">
        <f aca="false">IF(AND(H99&lt;&gt;"",I99&lt;&gt;""),IF(I99&gt;=H99,ROUNDUP((I99-H99+1)/7,0),""),"")</f>
        <v>2</v>
      </c>
      <c r="K99" s="9" t="s">
        <v>21</v>
      </c>
    </row>
    <row r="100" customFormat="false" ht="15" hidden="false" customHeight="false" outlineLevel="0" collapsed="false">
      <c r="A100" s="4" t="n">
        <v>8</v>
      </c>
      <c r="B100" s="5" t="s">
        <v>127</v>
      </c>
      <c r="C100" s="6" t="s">
        <v>128</v>
      </c>
      <c r="D100" s="5" t="s">
        <v>22</v>
      </c>
      <c r="E100" s="5" t="s">
        <v>23</v>
      </c>
      <c r="F100" s="5" t="s">
        <v>22</v>
      </c>
      <c r="G100" s="4" t="s">
        <v>24</v>
      </c>
      <c r="H100" s="7" t="n">
        <v>46214</v>
      </c>
      <c r="I100" s="7" t="n">
        <v>46306</v>
      </c>
      <c r="J100" s="6" t="n">
        <f aca="false">IF(AND(H100&lt;&gt;"",I100&lt;&gt;""),IF(I100&gt;=H100,ROUNDUP((I100-H100+1)/7,0),""),"")</f>
        <v>14</v>
      </c>
      <c r="K100" s="5"/>
    </row>
    <row r="101" customFormat="false" ht="18" hidden="false" customHeight="true" outlineLevel="0" collapsed="false">
      <c r="A101" s="3" t="s">
        <v>129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</row>
    <row r="102" customFormat="false" ht="15" hidden="false" customHeight="false" outlineLevel="0" collapsed="false">
      <c r="A102" s="4" t="n">
        <v>9</v>
      </c>
      <c r="B102" s="5" t="s">
        <v>130</v>
      </c>
      <c r="C102" s="6" t="s">
        <v>131</v>
      </c>
      <c r="D102" s="5" t="s">
        <v>15</v>
      </c>
      <c r="E102" s="5" t="s">
        <v>16</v>
      </c>
      <c r="F102" s="5" t="s">
        <v>17</v>
      </c>
      <c r="G102" s="4" t="s">
        <v>26</v>
      </c>
      <c r="H102" s="7" t="n">
        <v>46133</v>
      </c>
      <c r="I102" s="7" t="n">
        <v>46146</v>
      </c>
      <c r="J102" s="6" t="n">
        <f aca="false">IF(AND(H102&lt;&gt;"",I102&lt;&gt;""),IF(I102&gt;=H102,ROUNDUP((I102-H102+1)/7,0),""),"")</f>
        <v>2</v>
      </c>
      <c r="K102" s="5"/>
    </row>
    <row r="103" customFormat="false" ht="15" hidden="false" customHeight="false" outlineLevel="0" collapsed="false">
      <c r="A103" s="8" t="n">
        <v>9</v>
      </c>
      <c r="B103" s="9" t="s">
        <v>130</v>
      </c>
      <c r="C103" s="10" t="s">
        <v>131</v>
      </c>
      <c r="D103" s="9" t="s">
        <v>15</v>
      </c>
      <c r="E103" s="9" t="s">
        <v>20</v>
      </c>
      <c r="F103" s="9" t="s">
        <v>17</v>
      </c>
      <c r="G103" s="8" t="s">
        <v>26</v>
      </c>
      <c r="H103" s="11" t="n">
        <v>46140</v>
      </c>
      <c r="I103" s="11" t="n">
        <v>46153</v>
      </c>
      <c r="J103" s="10" t="n">
        <f aca="false">IF(AND(H103&lt;&gt;"",I103&lt;&gt;""),IF(I103&gt;=H103,ROUNDUP((I103-H103+1)/7,0),""),"")</f>
        <v>2</v>
      </c>
      <c r="K103" s="9" t="s">
        <v>21</v>
      </c>
    </row>
    <row r="104" customFormat="false" ht="15" hidden="false" customHeight="false" outlineLevel="0" collapsed="false">
      <c r="A104" s="4" t="n">
        <v>9</v>
      </c>
      <c r="B104" s="5" t="s">
        <v>130</v>
      </c>
      <c r="C104" s="6" t="s">
        <v>131</v>
      </c>
      <c r="D104" s="5" t="s">
        <v>22</v>
      </c>
      <c r="E104" s="5" t="s">
        <v>23</v>
      </c>
      <c r="F104" s="5" t="s">
        <v>22</v>
      </c>
      <c r="G104" s="4" t="s">
        <v>26</v>
      </c>
      <c r="H104" s="7" t="n">
        <v>46153</v>
      </c>
      <c r="I104" s="7" t="n">
        <v>46214</v>
      </c>
      <c r="J104" s="6" t="n">
        <f aca="false">IF(AND(H104&lt;&gt;"",I104&lt;&gt;""),IF(I104&gt;=H104,ROUNDUP((I104-H104+1)/7,0),""),"")</f>
        <v>9</v>
      </c>
      <c r="K104" s="5"/>
    </row>
    <row r="105" customFormat="false" ht="15" hidden="false" customHeight="false" outlineLevel="0" collapsed="false">
      <c r="A105" s="8" t="n">
        <v>9</v>
      </c>
      <c r="B105" s="9" t="s">
        <v>130</v>
      </c>
      <c r="C105" s="10" t="s">
        <v>131</v>
      </c>
      <c r="D105" s="9" t="s">
        <v>22</v>
      </c>
      <c r="E105" s="9" t="s">
        <v>25</v>
      </c>
      <c r="F105" s="9" t="s">
        <v>22</v>
      </c>
      <c r="G105" s="8" t="s">
        <v>26</v>
      </c>
      <c r="H105" s="11" t="n">
        <v>46214</v>
      </c>
      <c r="I105" s="11" t="n">
        <v>46221</v>
      </c>
      <c r="J105" s="10" t="n">
        <f aca="false">IF(AND(H105&lt;&gt;"",I105&lt;&gt;""),IF(I105&gt;=H105,ROUNDUP((I105-H105+1)/7,0),""),"")</f>
        <v>2</v>
      </c>
      <c r="K105" s="9"/>
    </row>
    <row r="106" customFormat="false" ht="15" hidden="false" customHeight="false" outlineLevel="0" collapsed="false">
      <c r="A106" s="4" t="n">
        <v>9</v>
      </c>
      <c r="B106" s="5" t="s">
        <v>130</v>
      </c>
      <c r="C106" s="6" t="s">
        <v>131</v>
      </c>
      <c r="D106" s="5" t="s">
        <v>22</v>
      </c>
      <c r="E106" s="5" t="s">
        <v>27</v>
      </c>
      <c r="F106" s="5" t="s">
        <v>28</v>
      </c>
      <c r="G106" s="4" t="s">
        <v>26</v>
      </c>
      <c r="H106" s="7" t="n">
        <v>46221</v>
      </c>
      <c r="I106" s="7" t="n">
        <v>46252</v>
      </c>
      <c r="J106" s="6" t="n">
        <f aca="false">IF(AND(H106&lt;&gt;"",I106&lt;&gt;""),IF(I106&gt;=H106,ROUNDUP((I106-H106+1)/7,0),""),"")</f>
        <v>5</v>
      </c>
      <c r="K106" s="5" t="s">
        <v>29</v>
      </c>
    </row>
    <row r="107" customFormat="false" ht="15" hidden="false" customHeight="false" outlineLevel="0" collapsed="false">
      <c r="A107" s="8" t="n">
        <v>9</v>
      </c>
      <c r="B107" s="9" t="s">
        <v>130</v>
      </c>
      <c r="C107" s="10" t="s">
        <v>131</v>
      </c>
      <c r="D107" s="9" t="s">
        <v>30</v>
      </c>
      <c r="E107" s="9" t="s">
        <v>31</v>
      </c>
      <c r="F107" s="9" t="s">
        <v>32</v>
      </c>
      <c r="G107" s="8" t="s">
        <v>26</v>
      </c>
      <c r="H107" s="11" t="n">
        <v>46252</v>
      </c>
      <c r="I107" s="11" t="n">
        <v>46283</v>
      </c>
      <c r="J107" s="10" t="n">
        <f aca="false">IF(AND(H107&lt;&gt;"",I107&lt;&gt;""),IF(I107&gt;=H107,ROUNDUP((I107-H107+1)/7,0),""),"")</f>
        <v>5</v>
      </c>
      <c r="K107" s="9"/>
    </row>
    <row r="108" customFormat="false" ht="15" hidden="false" customHeight="false" outlineLevel="0" collapsed="false">
      <c r="A108" s="4" t="n">
        <v>9</v>
      </c>
      <c r="B108" s="5" t="s">
        <v>130</v>
      </c>
      <c r="C108" s="6" t="s">
        <v>131</v>
      </c>
      <c r="D108" s="5" t="s">
        <v>30</v>
      </c>
      <c r="E108" s="5" t="s">
        <v>33</v>
      </c>
      <c r="F108" s="5" t="s">
        <v>32</v>
      </c>
      <c r="G108" s="4" t="s">
        <v>26</v>
      </c>
      <c r="H108" s="7" t="n">
        <v>46283</v>
      </c>
      <c r="I108" s="7" t="n">
        <v>46313</v>
      </c>
      <c r="J108" s="6" t="n">
        <f aca="false">IF(AND(H108&lt;&gt;"",I108&lt;&gt;""),IF(I108&gt;=H108,ROUNDUP((I108-H108+1)/7,0),""),"")</f>
        <v>5</v>
      </c>
      <c r="K108" s="5"/>
    </row>
    <row r="109" customFormat="false" ht="15" hidden="false" customHeight="false" outlineLevel="0" collapsed="false">
      <c r="A109" s="8" t="n">
        <v>9</v>
      </c>
      <c r="B109" s="9" t="s">
        <v>130</v>
      </c>
      <c r="C109" s="10" t="s">
        <v>131</v>
      </c>
      <c r="D109" s="9" t="s">
        <v>30</v>
      </c>
      <c r="E109" s="9" t="s">
        <v>34</v>
      </c>
      <c r="F109" s="9" t="s">
        <v>32</v>
      </c>
      <c r="G109" s="8" t="s">
        <v>26</v>
      </c>
      <c r="H109" s="11" t="n">
        <v>46313</v>
      </c>
      <c r="I109" s="11" t="n">
        <v>46323</v>
      </c>
      <c r="J109" s="10" t="n">
        <f aca="false">IF(AND(H109&lt;&gt;"",I109&lt;&gt;""),IF(I109&gt;=H109,ROUNDUP((I109-H109+1)/7,0),""),"")</f>
        <v>2</v>
      </c>
      <c r="K109" s="9"/>
    </row>
    <row r="110" customFormat="false" ht="15" hidden="false" customHeight="false" outlineLevel="0" collapsed="false">
      <c r="A110" s="4" t="n">
        <v>9</v>
      </c>
      <c r="B110" s="5" t="s">
        <v>130</v>
      </c>
      <c r="C110" s="6" t="s">
        <v>131</v>
      </c>
      <c r="D110" s="5" t="s">
        <v>35</v>
      </c>
      <c r="E110" s="5" t="s">
        <v>36</v>
      </c>
      <c r="F110" s="5" t="s">
        <v>37</v>
      </c>
      <c r="G110" s="4" t="s">
        <v>26</v>
      </c>
      <c r="H110" s="7" t="n">
        <v>46191</v>
      </c>
      <c r="I110" s="7" t="n">
        <v>46236</v>
      </c>
      <c r="J110" s="6" t="n">
        <f aca="false">IF(AND(H110&lt;&gt;"",I110&lt;&gt;""),IF(I110&gt;=H110,ROUNDUP((I110-H110+1)/7,0),""),"")</f>
        <v>7</v>
      </c>
      <c r="K110" s="5"/>
    </row>
    <row r="111" customFormat="false" ht="15" hidden="false" customHeight="false" outlineLevel="0" collapsed="false">
      <c r="A111" s="8" t="n">
        <v>9</v>
      </c>
      <c r="B111" s="9" t="s">
        <v>130</v>
      </c>
      <c r="C111" s="10" t="s">
        <v>131</v>
      </c>
      <c r="D111" s="9" t="s">
        <v>35</v>
      </c>
      <c r="E111" s="9" t="s">
        <v>38</v>
      </c>
      <c r="F111" s="9" t="s">
        <v>39</v>
      </c>
      <c r="G111" s="8" t="s">
        <v>26</v>
      </c>
      <c r="H111" s="11" t="n">
        <v>46323</v>
      </c>
      <c r="I111" s="11" t="n">
        <v>46334</v>
      </c>
      <c r="J111" s="10" t="n">
        <f aca="false">IF(AND(H111&lt;&gt;"",I111&lt;&gt;""),IF(I111&gt;=H111,ROUNDUP((I111-H111+1)/7,0),""),"")</f>
        <v>2</v>
      </c>
      <c r="K111" s="9"/>
    </row>
    <row r="112" customFormat="false" ht="15" hidden="false" customHeight="false" outlineLevel="0" collapsed="false">
      <c r="A112" s="4" t="n">
        <v>9</v>
      </c>
      <c r="B112" s="5" t="s">
        <v>130</v>
      </c>
      <c r="C112" s="6" t="s">
        <v>131</v>
      </c>
      <c r="D112" s="5" t="s">
        <v>35</v>
      </c>
      <c r="E112" s="5" t="s">
        <v>40</v>
      </c>
      <c r="F112" s="5" t="s">
        <v>39</v>
      </c>
      <c r="G112" s="4" t="s">
        <v>26</v>
      </c>
      <c r="H112" s="7" t="n">
        <v>46217</v>
      </c>
      <c r="I112" s="7" t="n">
        <v>46248</v>
      </c>
      <c r="J112" s="6" t="n">
        <f aca="false">IF(AND(H112&lt;&gt;"",I112&lt;&gt;""),IF(I112&gt;=H112,ROUNDUP((I112-H112+1)/7,0),""),"")</f>
        <v>5</v>
      </c>
      <c r="K112" s="5"/>
    </row>
    <row r="113" customFormat="false" ht="15" hidden="false" customHeight="false" outlineLevel="0" collapsed="false">
      <c r="A113" s="8" t="n">
        <v>9</v>
      </c>
      <c r="B113" s="9" t="s">
        <v>130</v>
      </c>
      <c r="C113" s="10" t="s">
        <v>131</v>
      </c>
      <c r="D113" s="9" t="s">
        <v>41</v>
      </c>
      <c r="E113" s="9" t="s">
        <v>42</v>
      </c>
      <c r="F113" s="9" t="s">
        <v>17</v>
      </c>
      <c r="G113" s="8" t="s">
        <v>26</v>
      </c>
      <c r="H113" s="11" t="n">
        <v>46334</v>
      </c>
      <c r="I113" s="11" t="n">
        <v>46344</v>
      </c>
      <c r="J113" s="10" t="n">
        <f aca="false">IF(AND(H113&lt;&gt;"",I113&lt;&gt;""),IF(I113&gt;=H113,ROUNDUP((I113-H113+1)/7,0),""),"")</f>
        <v>2</v>
      </c>
      <c r="K113" s="9" t="s">
        <v>43</v>
      </c>
    </row>
    <row r="114" customFormat="false" ht="15" hidden="false" customHeight="false" outlineLevel="0" collapsed="false">
      <c r="A114" s="4" t="n">
        <v>9</v>
      </c>
      <c r="B114" s="5" t="s">
        <v>130</v>
      </c>
      <c r="C114" s="6" t="s">
        <v>131</v>
      </c>
      <c r="D114" s="5" t="s">
        <v>41</v>
      </c>
      <c r="E114" s="5" t="s">
        <v>44</v>
      </c>
      <c r="F114" s="5" t="s">
        <v>17</v>
      </c>
      <c r="G114" s="4" t="s">
        <v>26</v>
      </c>
      <c r="H114" s="7" t="n">
        <v>46344</v>
      </c>
      <c r="I114" s="7" t="n">
        <v>46350</v>
      </c>
      <c r="J114" s="6" t="n">
        <f aca="false">IF(AND(H114&lt;&gt;"",I114&lt;&gt;""),IF(I114&gt;=H114,ROUNDUP((I114-H114+1)/7,0),""),"")</f>
        <v>1</v>
      </c>
      <c r="K114" s="5"/>
    </row>
    <row r="115" customFormat="false" ht="15" hidden="false" customHeight="false" outlineLevel="0" collapsed="false">
      <c r="A115" s="8" t="n">
        <v>9</v>
      </c>
      <c r="B115" s="9" t="s">
        <v>130</v>
      </c>
      <c r="C115" s="10" t="s">
        <v>131</v>
      </c>
      <c r="D115" s="9" t="s">
        <v>41</v>
      </c>
      <c r="E115" s="9" t="s">
        <v>45</v>
      </c>
      <c r="F115" s="9" t="s">
        <v>17</v>
      </c>
      <c r="G115" s="8" t="s">
        <v>26</v>
      </c>
      <c r="H115" s="11" t="n">
        <v>46344</v>
      </c>
      <c r="I115" s="11" t="n">
        <v>46350</v>
      </c>
      <c r="J115" s="10" t="n">
        <f aca="false">IF(AND(H115&lt;&gt;"",I115&lt;&gt;""),IF(I115&gt;=H115,ROUNDUP((I115-H115+1)/7,0),""),"")</f>
        <v>1</v>
      </c>
      <c r="K115" s="9" t="s">
        <v>46</v>
      </c>
    </row>
    <row r="116" customFormat="false" ht="18" hidden="false" customHeight="true" outlineLevel="0" collapsed="false">
      <c r="A116" s="3" t="s">
        <v>132</v>
      </c>
      <c r="B116" s="3"/>
      <c r="C116" s="3"/>
      <c r="D116" s="3"/>
      <c r="E116" s="3"/>
      <c r="F116" s="3"/>
      <c r="G116" s="3"/>
      <c r="H116" s="3"/>
      <c r="I116" s="3"/>
      <c r="J116" s="3"/>
      <c r="K116" s="3"/>
    </row>
    <row r="117" customFormat="false" ht="15" hidden="false" customHeight="false" outlineLevel="0" collapsed="false">
      <c r="A117" s="4" t="n">
        <v>10</v>
      </c>
      <c r="B117" s="5" t="s">
        <v>133</v>
      </c>
      <c r="C117" s="6" t="s">
        <v>134</v>
      </c>
      <c r="D117" s="5" t="s">
        <v>15</v>
      </c>
      <c r="E117" s="5" t="s">
        <v>16</v>
      </c>
      <c r="F117" s="5" t="s">
        <v>17</v>
      </c>
      <c r="G117" s="4" t="s">
        <v>18</v>
      </c>
      <c r="H117" s="7" t="n">
        <v>46133</v>
      </c>
      <c r="I117" s="7" t="n">
        <v>46146</v>
      </c>
      <c r="J117" s="6" t="n">
        <f aca="false">IF(AND(H117&lt;&gt;"",I117&lt;&gt;""),IF(I117&gt;=H117,ROUNDUP((I117-H117+1)/7,0),""),"")</f>
        <v>2</v>
      </c>
      <c r="K117" s="5"/>
    </row>
    <row r="118" customFormat="false" ht="15" hidden="false" customHeight="false" outlineLevel="0" collapsed="false">
      <c r="A118" s="8" t="n">
        <v>10</v>
      </c>
      <c r="B118" s="9" t="s">
        <v>133</v>
      </c>
      <c r="C118" s="10" t="s">
        <v>134</v>
      </c>
      <c r="D118" s="9" t="s">
        <v>15</v>
      </c>
      <c r="E118" s="9" t="s">
        <v>20</v>
      </c>
      <c r="F118" s="9" t="s">
        <v>17</v>
      </c>
      <c r="G118" s="8" t="s">
        <v>18</v>
      </c>
      <c r="H118" s="11" t="n">
        <v>46201</v>
      </c>
      <c r="I118" s="11" t="n">
        <v>46214</v>
      </c>
      <c r="J118" s="10" t="n">
        <f aca="false">IF(AND(H118&lt;&gt;"",I118&lt;&gt;""),IF(I118&gt;=H118,ROUNDUP((I118-H118+1)/7,0),""),"")</f>
        <v>2</v>
      </c>
      <c r="K118" s="9" t="s">
        <v>21</v>
      </c>
    </row>
    <row r="119" customFormat="false" ht="15" hidden="false" customHeight="false" outlineLevel="0" collapsed="false">
      <c r="A119" s="4" t="n">
        <v>10</v>
      </c>
      <c r="B119" s="5" t="s">
        <v>133</v>
      </c>
      <c r="C119" s="6" t="s">
        <v>134</v>
      </c>
      <c r="D119" s="5" t="s">
        <v>22</v>
      </c>
      <c r="E119" s="5" t="s">
        <v>23</v>
      </c>
      <c r="F119" s="5" t="s">
        <v>22</v>
      </c>
      <c r="G119" s="4" t="s">
        <v>24</v>
      </c>
      <c r="H119" s="7" t="n">
        <v>46214</v>
      </c>
      <c r="I119" s="7" t="n">
        <v>46224</v>
      </c>
      <c r="J119" s="6" t="n">
        <f aca="false">IF(AND(H119&lt;&gt;"",I119&lt;&gt;""),IF(I119&gt;=H119,ROUNDUP((I119-H119+1)/7,0),""),"")</f>
        <v>2</v>
      </c>
      <c r="K119" s="5"/>
    </row>
    <row r="120" customFormat="false" ht="15" hidden="false" customHeight="false" outlineLevel="0" collapsed="false">
      <c r="A120" s="8" t="n">
        <v>10</v>
      </c>
      <c r="B120" s="9" t="s">
        <v>133</v>
      </c>
      <c r="C120" s="10" t="s">
        <v>134</v>
      </c>
      <c r="D120" s="9" t="s">
        <v>22</v>
      </c>
      <c r="E120" s="9" t="s">
        <v>25</v>
      </c>
      <c r="F120" s="9" t="s">
        <v>22</v>
      </c>
      <c r="G120" s="8" t="s">
        <v>26</v>
      </c>
      <c r="H120" s="11" t="n">
        <v>46224</v>
      </c>
      <c r="I120" s="11" t="n">
        <v>46235</v>
      </c>
      <c r="J120" s="10" t="n">
        <f aca="false">IF(AND(H120&lt;&gt;"",I120&lt;&gt;""),IF(I120&gt;=H120,ROUNDUP((I120-H120+1)/7,0),""),"")</f>
        <v>2</v>
      </c>
      <c r="K120" s="9"/>
    </row>
    <row r="121" customFormat="false" ht="15" hidden="false" customHeight="false" outlineLevel="0" collapsed="false">
      <c r="A121" s="4" t="n">
        <v>10</v>
      </c>
      <c r="B121" s="5" t="s">
        <v>133</v>
      </c>
      <c r="C121" s="6" t="s">
        <v>134</v>
      </c>
      <c r="D121" s="5" t="s">
        <v>22</v>
      </c>
      <c r="E121" s="5" t="s">
        <v>27</v>
      </c>
      <c r="F121" s="5" t="s">
        <v>28</v>
      </c>
      <c r="G121" s="4" t="s">
        <v>26</v>
      </c>
      <c r="H121" s="7" t="n">
        <v>46235</v>
      </c>
      <c r="I121" s="7" t="n">
        <v>46266</v>
      </c>
      <c r="J121" s="6" t="n">
        <f aca="false">IF(AND(H121&lt;&gt;"",I121&lt;&gt;""),IF(I121&gt;=H121,ROUNDUP((I121-H121+1)/7,0),""),"")</f>
        <v>5</v>
      </c>
      <c r="K121" s="5" t="s">
        <v>29</v>
      </c>
    </row>
    <row r="122" customFormat="false" ht="15" hidden="false" customHeight="false" outlineLevel="0" collapsed="false">
      <c r="A122" s="8" t="n">
        <v>10</v>
      </c>
      <c r="B122" s="9" t="s">
        <v>133</v>
      </c>
      <c r="C122" s="10" t="s">
        <v>134</v>
      </c>
      <c r="D122" s="9" t="s">
        <v>30</v>
      </c>
      <c r="E122" s="9" t="s">
        <v>34</v>
      </c>
      <c r="F122" s="9" t="s">
        <v>32</v>
      </c>
      <c r="G122" s="8" t="s">
        <v>26</v>
      </c>
      <c r="H122" s="11" t="n">
        <v>46273</v>
      </c>
      <c r="I122" s="11" t="n">
        <v>46274</v>
      </c>
      <c r="J122" s="10" t="n">
        <f aca="false">IF(AND(H122&lt;&gt;"",I122&lt;&gt;""),IF(I122&gt;=H122,ROUNDUP((I122-H122+1)/7,0),""),"")</f>
        <v>1</v>
      </c>
      <c r="K122" s="9"/>
    </row>
    <row r="123" customFormat="false" ht="15" hidden="false" customHeight="false" outlineLevel="0" collapsed="false">
      <c r="A123" s="4" t="n">
        <v>10</v>
      </c>
      <c r="B123" s="5" t="s">
        <v>133</v>
      </c>
      <c r="C123" s="6" t="s">
        <v>134</v>
      </c>
      <c r="D123" s="5" t="s">
        <v>35</v>
      </c>
      <c r="E123" s="5" t="s">
        <v>36</v>
      </c>
      <c r="F123" s="5" t="s">
        <v>37</v>
      </c>
      <c r="G123" s="4" t="s">
        <v>26</v>
      </c>
      <c r="H123" s="7" t="n">
        <v>46236</v>
      </c>
      <c r="I123" s="7" t="n">
        <v>46267</v>
      </c>
      <c r="J123" s="6" t="n">
        <f aca="false">IF(AND(H123&lt;&gt;"",I123&lt;&gt;""),IF(I123&gt;=H123,ROUNDUP((I123-H123+1)/7,0),""),"")</f>
        <v>5</v>
      </c>
      <c r="K123" s="5"/>
    </row>
    <row r="124" customFormat="false" ht="15" hidden="false" customHeight="false" outlineLevel="0" collapsed="false">
      <c r="A124" s="8" t="n">
        <v>10</v>
      </c>
      <c r="B124" s="9" t="s">
        <v>133</v>
      </c>
      <c r="C124" s="10" t="s">
        <v>134</v>
      </c>
      <c r="D124" s="9" t="s">
        <v>35</v>
      </c>
      <c r="E124" s="9" t="s">
        <v>38</v>
      </c>
      <c r="F124" s="9" t="s">
        <v>39</v>
      </c>
      <c r="G124" s="8" t="s">
        <v>26</v>
      </c>
      <c r="H124" s="11" t="n">
        <v>46275</v>
      </c>
      <c r="I124" s="11" t="n">
        <v>46303</v>
      </c>
      <c r="J124" s="10" t="n">
        <f aca="false">IF(AND(H124&lt;&gt;"",I124&lt;&gt;""),IF(I124&gt;=H124,ROUNDUP((I124-H124+1)/7,0),""),"")</f>
        <v>5</v>
      </c>
      <c r="K124" s="9"/>
    </row>
    <row r="125" customFormat="false" ht="15" hidden="false" customHeight="false" outlineLevel="0" collapsed="false">
      <c r="A125" s="4" t="n">
        <v>10</v>
      </c>
      <c r="B125" s="5" t="s">
        <v>133</v>
      </c>
      <c r="C125" s="6" t="s">
        <v>134</v>
      </c>
      <c r="D125" s="5" t="s">
        <v>35</v>
      </c>
      <c r="E125" s="5" t="s">
        <v>40</v>
      </c>
      <c r="F125" s="5" t="s">
        <v>39</v>
      </c>
      <c r="G125" s="4" t="s">
        <v>26</v>
      </c>
      <c r="H125" s="7" t="n">
        <v>46275</v>
      </c>
      <c r="I125" s="7" t="n">
        <v>46303</v>
      </c>
      <c r="J125" s="6" t="n">
        <f aca="false">IF(AND(H125&lt;&gt;"",I125&lt;&gt;""),IF(I125&gt;=H125,ROUNDUP((I125-H125+1)/7,0),""),"")</f>
        <v>5</v>
      </c>
      <c r="K125" s="5"/>
    </row>
    <row r="126" customFormat="false" ht="15" hidden="false" customHeight="false" outlineLevel="0" collapsed="false">
      <c r="A126" s="8" t="n">
        <v>10</v>
      </c>
      <c r="B126" s="9" t="s">
        <v>133</v>
      </c>
      <c r="C126" s="10" t="s">
        <v>134</v>
      </c>
      <c r="D126" s="9" t="s">
        <v>41</v>
      </c>
      <c r="E126" s="9" t="s">
        <v>42</v>
      </c>
      <c r="F126" s="9" t="s">
        <v>17</v>
      </c>
      <c r="G126" s="8" t="s">
        <v>26</v>
      </c>
      <c r="H126" s="11" t="n">
        <v>46303</v>
      </c>
      <c r="I126" s="11" t="n">
        <v>46304</v>
      </c>
      <c r="J126" s="10" t="n">
        <f aca="false">IF(AND(H126&lt;&gt;"",I126&lt;&gt;""),IF(I126&gt;=H126,ROUNDUP((I126-H126+1)/7,0),""),"")</f>
        <v>1</v>
      </c>
      <c r="K126" s="9" t="s">
        <v>43</v>
      </c>
    </row>
    <row r="127" customFormat="false" ht="15" hidden="false" customHeight="false" outlineLevel="0" collapsed="false">
      <c r="A127" s="4" t="n">
        <v>10</v>
      </c>
      <c r="B127" s="5" t="s">
        <v>133</v>
      </c>
      <c r="C127" s="6" t="s">
        <v>134</v>
      </c>
      <c r="D127" s="5" t="s">
        <v>41</v>
      </c>
      <c r="E127" s="5" t="s">
        <v>44</v>
      </c>
      <c r="F127" s="5" t="s">
        <v>17</v>
      </c>
      <c r="G127" s="4" t="s">
        <v>26</v>
      </c>
      <c r="H127" s="7" t="n">
        <v>46344</v>
      </c>
      <c r="I127" s="7" t="n">
        <v>46350</v>
      </c>
      <c r="J127" s="6" t="n">
        <f aca="false">IF(AND(H127&lt;&gt;"",I127&lt;&gt;""),IF(I127&gt;=H127,ROUNDUP((I127-H127+1)/7,0),""),"")</f>
        <v>1</v>
      </c>
      <c r="K127" s="5"/>
    </row>
    <row r="128" customFormat="false" ht="15" hidden="false" customHeight="false" outlineLevel="0" collapsed="false">
      <c r="A128" s="8" t="n">
        <v>10</v>
      </c>
      <c r="B128" s="9" t="s">
        <v>133</v>
      </c>
      <c r="C128" s="10" t="s">
        <v>134</v>
      </c>
      <c r="D128" s="9" t="s">
        <v>41</v>
      </c>
      <c r="E128" s="9" t="s">
        <v>45</v>
      </c>
      <c r="F128" s="9" t="s">
        <v>17</v>
      </c>
      <c r="G128" s="8" t="s">
        <v>26</v>
      </c>
      <c r="H128" s="11" t="n">
        <v>46344</v>
      </c>
      <c r="I128" s="11" t="n">
        <v>46350</v>
      </c>
      <c r="J128" s="10" t="n">
        <f aca="false">IF(AND(H128&lt;&gt;"",I128&lt;&gt;""),IF(I128&gt;=H128,ROUNDUP((I128-H128+1)/7,0),""),"")</f>
        <v>1</v>
      </c>
      <c r="K128" s="9"/>
    </row>
    <row r="129" customFormat="false" ht="18" hidden="false" customHeight="true" outlineLevel="0" collapsed="false">
      <c r="A129" s="3" t="s">
        <v>135</v>
      </c>
      <c r="B129" s="3"/>
      <c r="C129" s="3"/>
      <c r="D129" s="3"/>
      <c r="E129" s="3"/>
      <c r="F129" s="3"/>
      <c r="G129" s="3"/>
      <c r="H129" s="3"/>
      <c r="I129" s="3"/>
      <c r="J129" s="3"/>
      <c r="K129" s="3"/>
    </row>
    <row r="130" customFormat="false" ht="15" hidden="false" customHeight="false" outlineLevel="0" collapsed="false">
      <c r="A130" s="4" t="n">
        <v>11</v>
      </c>
      <c r="B130" s="5" t="s">
        <v>136</v>
      </c>
      <c r="C130" s="6" t="s">
        <v>137</v>
      </c>
      <c r="D130" s="5" t="s">
        <v>15</v>
      </c>
      <c r="E130" s="5" t="s">
        <v>16</v>
      </c>
      <c r="F130" s="5" t="s">
        <v>17</v>
      </c>
      <c r="G130" s="4" t="s">
        <v>18</v>
      </c>
      <c r="H130" s="7" t="n">
        <v>46133</v>
      </c>
      <c r="I130" s="7" t="n">
        <v>46146</v>
      </c>
      <c r="J130" s="6" t="n">
        <f aca="false">IF(AND(H130&lt;&gt;"",I130&lt;&gt;""),IF(I130&gt;=H130,ROUNDUP((I130-H130+1)/7,0),""),"")</f>
        <v>2</v>
      </c>
      <c r="K130" s="5"/>
    </row>
    <row r="131" customFormat="false" ht="15" hidden="false" customHeight="false" outlineLevel="0" collapsed="false">
      <c r="A131" s="8" t="n">
        <v>11</v>
      </c>
      <c r="B131" s="9" t="s">
        <v>136</v>
      </c>
      <c r="C131" s="10" t="s">
        <v>137</v>
      </c>
      <c r="D131" s="9" t="s">
        <v>15</v>
      </c>
      <c r="E131" s="9" t="s">
        <v>20</v>
      </c>
      <c r="F131" s="9" t="s">
        <v>17</v>
      </c>
      <c r="G131" s="8" t="s">
        <v>24</v>
      </c>
      <c r="H131" s="11" t="n">
        <v>46201</v>
      </c>
      <c r="I131" s="11" t="n">
        <v>46214</v>
      </c>
      <c r="J131" s="10" t="n">
        <f aca="false">IF(AND(H131&lt;&gt;"",I131&lt;&gt;""),IF(I131&gt;=H131,ROUNDUP((I131-H131+1)/7,0),""),"")</f>
        <v>2</v>
      </c>
      <c r="K131" s="9" t="s">
        <v>21</v>
      </c>
    </row>
    <row r="132" customFormat="false" ht="15" hidden="false" customHeight="false" outlineLevel="0" collapsed="false">
      <c r="A132" s="4" t="n">
        <v>11</v>
      </c>
      <c r="B132" s="5" t="s">
        <v>136</v>
      </c>
      <c r="C132" s="6" t="s">
        <v>137</v>
      </c>
      <c r="D132" s="5" t="s">
        <v>22</v>
      </c>
      <c r="E132" s="5" t="s">
        <v>23</v>
      </c>
      <c r="F132" s="5" t="s">
        <v>22</v>
      </c>
      <c r="G132" s="4" t="s">
        <v>24</v>
      </c>
      <c r="H132" s="7" t="n">
        <v>46214</v>
      </c>
      <c r="I132" s="7" t="n">
        <v>46245</v>
      </c>
      <c r="J132" s="6" t="n">
        <f aca="false">IF(AND(H132&lt;&gt;"",I132&lt;&gt;""),IF(I132&gt;=H132,ROUNDUP((I132-H132+1)/7,0),""),"")</f>
        <v>5</v>
      </c>
      <c r="K132" s="5"/>
    </row>
    <row r="133" customFormat="false" ht="18" hidden="false" customHeight="true" outlineLevel="0" collapsed="false">
      <c r="A133" s="3" t="s">
        <v>138</v>
      </c>
      <c r="B133" s="3"/>
      <c r="C133" s="3"/>
      <c r="D133" s="3"/>
      <c r="E133" s="3"/>
      <c r="F133" s="3"/>
      <c r="G133" s="3"/>
      <c r="H133" s="3"/>
      <c r="I133" s="3"/>
      <c r="J133" s="3"/>
      <c r="K133" s="3"/>
    </row>
    <row r="134" customFormat="false" ht="22.35" hidden="false" customHeight="false" outlineLevel="0" collapsed="false">
      <c r="A134" s="4" t="n">
        <v>12</v>
      </c>
      <c r="B134" s="5" t="s">
        <v>139</v>
      </c>
      <c r="C134" s="6" t="s">
        <v>137</v>
      </c>
      <c r="D134" s="5" t="s">
        <v>15</v>
      </c>
      <c r="E134" s="5" t="s">
        <v>16</v>
      </c>
      <c r="F134" s="5" t="s">
        <v>17</v>
      </c>
      <c r="G134" s="4" t="s">
        <v>18</v>
      </c>
      <c r="H134" s="7" t="n">
        <v>46133</v>
      </c>
      <c r="I134" s="7" t="n">
        <v>46146</v>
      </c>
      <c r="J134" s="6" t="n">
        <f aca="false">IF(AND(H134&lt;&gt;"",I134&lt;&gt;""),IF(I134&gt;=H134,ROUNDUP((I134-H134+1)/7,0),""),"")</f>
        <v>2</v>
      </c>
      <c r="K134" s="5"/>
    </row>
    <row r="135" customFormat="false" ht="22.35" hidden="false" customHeight="false" outlineLevel="0" collapsed="false">
      <c r="A135" s="8" t="n">
        <v>12</v>
      </c>
      <c r="B135" s="9" t="s">
        <v>139</v>
      </c>
      <c r="C135" s="10" t="s">
        <v>137</v>
      </c>
      <c r="D135" s="9" t="s">
        <v>15</v>
      </c>
      <c r="E135" s="9" t="s">
        <v>20</v>
      </c>
      <c r="F135" s="9" t="s">
        <v>17</v>
      </c>
      <c r="G135" s="8" t="s">
        <v>18</v>
      </c>
      <c r="H135" s="11" t="n">
        <v>46140</v>
      </c>
      <c r="I135" s="11" t="n">
        <v>46306</v>
      </c>
      <c r="J135" s="10" t="n">
        <f aca="false">IF(AND(H135&lt;&gt;"",I135&lt;&gt;""),IF(I135&gt;=H135,ROUNDUP((I135-H135+1)/7,0),""),"")</f>
        <v>24</v>
      </c>
      <c r="K135" s="9" t="s">
        <v>21</v>
      </c>
    </row>
    <row r="136" customFormat="false" ht="22.35" hidden="false" customHeight="false" outlineLevel="0" collapsed="false">
      <c r="A136" s="4" t="n">
        <v>12</v>
      </c>
      <c r="B136" s="5" t="s">
        <v>139</v>
      </c>
      <c r="C136" s="6" t="s">
        <v>137</v>
      </c>
      <c r="D136" s="5" t="s">
        <v>22</v>
      </c>
      <c r="E136" s="5" t="s">
        <v>23</v>
      </c>
      <c r="F136" s="5" t="s">
        <v>22</v>
      </c>
      <c r="G136" s="4" t="s">
        <v>24</v>
      </c>
      <c r="H136" s="7" t="n">
        <v>46306</v>
      </c>
      <c r="I136" s="7" t="n">
        <v>46337</v>
      </c>
      <c r="J136" s="6" t="n">
        <f aca="false">IF(AND(H136&lt;&gt;"",I136&lt;&gt;""),IF(I136&gt;=H136,ROUNDUP((I136-H136+1)/7,0),""),"")</f>
        <v>5</v>
      </c>
      <c r="K136" s="5"/>
    </row>
    <row r="137" customFormat="false" ht="18" hidden="false" customHeight="true" outlineLevel="0" collapsed="false">
      <c r="A137" s="3" t="s">
        <v>140</v>
      </c>
      <c r="B137" s="3"/>
      <c r="C137" s="3"/>
      <c r="D137" s="3"/>
      <c r="E137" s="3"/>
      <c r="F137" s="3"/>
      <c r="G137" s="3"/>
      <c r="H137" s="3"/>
      <c r="I137" s="3"/>
      <c r="J137" s="3"/>
      <c r="K137" s="3"/>
    </row>
    <row r="138" customFormat="false" ht="15" hidden="false" customHeight="false" outlineLevel="0" collapsed="false">
      <c r="A138" s="4" t="n">
        <v>13</v>
      </c>
      <c r="B138" s="5" t="s">
        <v>141</v>
      </c>
      <c r="C138" s="6" t="s">
        <v>142</v>
      </c>
      <c r="D138" s="5" t="s">
        <v>143</v>
      </c>
      <c r="E138" s="5" t="s">
        <v>144</v>
      </c>
      <c r="F138" s="5" t="s">
        <v>145</v>
      </c>
      <c r="G138" s="4" t="s">
        <v>18</v>
      </c>
      <c r="H138" s="7" t="n">
        <v>46133</v>
      </c>
      <c r="I138" s="7" t="n">
        <v>46146</v>
      </c>
      <c r="J138" s="6" t="n">
        <f aca="false">IF(AND(H138&lt;&gt;"",I138&lt;&gt;""),IF(I138&gt;=H138,ROUNDUP((I138-H138+1)/7,0),""),"")</f>
        <v>2</v>
      </c>
      <c r="K138" s="5"/>
    </row>
    <row r="139" customFormat="false" ht="15" hidden="false" customHeight="false" outlineLevel="0" collapsed="false">
      <c r="A139" s="8" t="n">
        <v>13</v>
      </c>
      <c r="B139" s="9" t="s">
        <v>141</v>
      </c>
      <c r="C139" s="10" t="s">
        <v>142</v>
      </c>
      <c r="D139" s="9" t="s">
        <v>146</v>
      </c>
      <c r="E139" s="9" t="s">
        <v>144</v>
      </c>
      <c r="F139" s="9" t="s">
        <v>145</v>
      </c>
      <c r="G139" s="8" t="s">
        <v>18</v>
      </c>
      <c r="H139" s="11" t="n">
        <v>46133</v>
      </c>
      <c r="I139" s="11" t="n">
        <v>46146</v>
      </c>
      <c r="J139" s="10" t="n">
        <f aca="false">IF(AND(H139&lt;&gt;"",I139&lt;&gt;""),IF(I139&gt;=H139,ROUNDUP((I139-H139+1)/7,0),""),"")</f>
        <v>2</v>
      </c>
      <c r="K139" s="9"/>
    </row>
    <row r="140" customFormat="false" ht="15" hidden="false" customHeight="false" outlineLevel="0" collapsed="false">
      <c r="A140" s="4" t="n">
        <v>13</v>
      </c>
      <c r="B140" s="5" t="s">
        <v>141</v>
      </c>
      <c r="C140" s="6" t="s">
        <v>142</v>
      </c>
      <c r="D140" s="5" t="s">
        <v>147</v>
      </c>
      <c r="E140" s="5" t="s">
        <v>148</v>
      </c>
      <c r="F140" s="5" t="s">
        <v>22</v>
      </c>
      <c r="G140" s="4" t="s">
        <v>24</v>
      </c>
      <c r="H140" s="7" t="n">
        <v>46204</v>
      </c>
      <c r="I140" s="7" t="n">
        <v>46214</v>
      </c>
      <c r="J140" s="6" t="n">
        <f aca="false">IF(AND(H140&lt;&gt;"",I140&lt;&gt;""),IF(I140&gt;=H140,ROUNDUP((I140-H140+1)/7,0),""),"")</f>
        <v>2</v>
      </c>
      <c r="K140" s="5"/>
    </row>
    <row r="141" customFormat="false" ht="18" hidden="false" customHeight="true" outlineLevel="0" collapsed="false">
      <c r="A141" s="3" t="s">
        <v>149</v>
      </c>
      <c r="B141" s="3"/>
      <c r="C141" s="3"/>
      <c r="D141" s="3"/>
      <c r="E141" s="3"/>
      <c r="F141" s="3"/>
      <c r="G141" s="3"/>
      <c r="H141" s="3"/>
      <c r="I141" s="3"/>
      <c r="J141" s="3"/>
      <c r="K141" s="3"/>
    </row>
    <row r="142" customFormat="false" ht="15" hidden="false" customHeight="false" outlineLevel="0" collapsed="false">
      <c r="A142" s="4" t="n">
        <v>14</v>
      </c>
      <c r="B142" s="5" t="s">
        <v>150</v>
      </c>
      <c r="C142" s="6" t="s">
        <v>142</v>
      </c>
      <c r="D142" s="5" t="s">
        <v>15</v>
      </c>
      <c r="E142" s="5" t="s">
        <v>16</v>
      </c>
      <c r="F142" s="5" t="s">
        <v>17</v>
      </c>
      <c r="G142" s="4" t="s">
        <v>18</v>
      </c>
      <c r="H142" s="7" t="n">
        <v>46133</v>
      </c>
      <c r="I142" s="7" t="n">
        <v>46146</v>
      </c>
      <c r="J142" s="6" t="n">
        <f aca="false">IF(AND(H142&lt;&gt;"",I142&lt;&gt;""),IF(I142&gt;=H142,ROUNDUP((I142-H142+1)/7,0),""),"")</f>
        <v>2</v>
      </c>
      <c r="K142" s="5"/>
    </row>
    <row r="143" customFormat="false" ht="15" hidden="false" customHeight="false" outlineLevel="0" collapsed="false">
      <c r="A143" s="8" t="n">
        <v>14</v>
      </c>
      <c r="B143" s="9" t="s">
        <v>150</v>
      </c>
      <c r="C143" s="10" t="s">
        <v>142</v>
      </c>
      <c r="D143" s="9" t="s">
        <v>15</v>
      </c>
      <c r="E143" s="9" t="s">
        <v>151</v>
      </c>
      <c r="F143" s="9" t="s">
        <v>17</v>
      </c>
      <c r="G143" s="8" t="s">
        <v>24</v>
      </c>
      <c r="H143" s="11" t="n">
        <v>46140</v>
      </c>
      <c r="I143" s="11" t="n">
        <v>46153</v>
      </c>
      <c r="J143" s="10" t="n">
        <f aca="false">IF(AND(H143&lt;&gt;"",I143&lt;&gt;""),IF(I143&gt;=H143,ROUNDUP((I143-H143+1)/7,0),""),"")</f>
        <v>2</v>
      </c>
      <c r="K143" s="9"/>
    </row>
    <row r="144" customFormat="false" ht="15" hidden="false" customHeight="false" outlineLevel="0" collapsed="false">
      <c r="A144" s="4" t="n">
        <v>14</v>
      </c>
      <c r="B144" s="5" t="s">
        <v>150</v>
      </c>
      <c r="C144" s="6" t="s">
        <v>142</v>
      </c>
      <c r="D144" s="5" t="s">
        <v>22</v>
      </c>
      <c r="E144" s="5" t="s">
        <v>23</v>
      </c>
      <c r="F144" s="5" t="s">
        <v>22</v>
      </c>
      <c r="G144" s="4" t="s">
        <v>24</v>
      </c>
      <c r="H144" s="7" t="n">
        <v>46153</v>
      </c>
      <c r="I144" s="7" t="n">
        <v>46214</v>
      </c>
      <c r="J144" s="6" t="n">
        <f aca="false">IF(AND(H144&lt;&gt;"",I144&lt;&gt;""),IF(I144&gt;=H144,ROUNDUP((I144-H144+1)/7,0),""),"")</f>
        <v>9</v>
      </c>
      <c r="K144" s="5"/>
    </row>
  </sheetData>
  <mergeCells count="15">
    <mergeCell ref="A1:K1"/>
    <mergeCell ref="A3:K3"/>
    <mergeCell ref="A18:K18"/>
    <mergeCell ref="A32:K32"/>
    <mergeCell ref="A45:K45"/>
    <mergeCell ref="A56:K56"/>
    <mergeCell ref="A69:K69"/>
    <mergeCell ref="A84:K84"/>
    <mergeCell ref="A97:K97"/>
    <mergeCell ref="A101:K101"/>
    <mergeCell ref="A116:K116"/>
    <mergeCell ref="A129:K129"/>
    <mergeCell ref="A133:K133"/>
    <mergeCell ref="A137:K137"/>
    <mergeCell ref="A141:K141"/>
  </mergeCells>
  <conditionalFormatting sqref="G4:G144">
    <cfRule type="expression" priority="2" aboveAverage="0" equalAverage="0" bottom="0" percent="0" rank="0" text="" dxfId="0">
      <formula>EXACT($G4,"Complete")</formula>
    </cfRule>
    <cfRule type="expression" priority="3" aboveAverage="0" equalAverage="0" bottom="0" percent="0" rank="0" text="" dxfId="1">
      <formula>EXACT($G4,"In Progress")</formula>
    </cfRule>
    <cfRule type="expression" priority="4" aboveAverage="0" equalAverage="0" bottom="0" percent="0" rank="0" text="" dxfId="2">
      <formula>EXACT($G4,"Not Started")</formula>
    </cfRule>
    <cfRule type="expression" priority="5" aboveAverage="0" equalAverage="0" bottom="0" percent="0" rank="0" text="" dxfId="3">
      <formula>EXACT($G4,"Blocked")</formula>
    </cfRule>
  </conditionalFormatting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6" min="5" style="0" width="12"/>
    <col collapsed="false" customWidth="true" hidden="false" outlineLevel="0" max="7" min="7" style="0" width="11"/>
    <col collapsed="false" customWidth="true" hidden="false" outlineLevel="0" max="8" min="8" style="0" width="18"/>
  </cols>
  <sheetData>
    <row r="1" customFormat="false" ht="25.5" hidden="false" customHeight="true" outlineLevel="0" collapsed="false">
      <c r="A1" s="1" t="s">
        <v>152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12" t="s">
        <v>153</v>
      </c>
      <c r="B3" s="12"/>
      <c r="C3" s="12"/>
      <c r="D3" s="12"/>
      <c r="E3" s="12"/>
      <c r="F3" s="12"/>
      <c r="G3" s="12"/>
      <c r="H3" s="12"/>
    </row>
    <row r="4" customFormat="false" ht="15" hidden="false" customHeight="false" outlineLevel="0" collapsed="false">
      <c r="A4" s="13" t="s">
        <v>154</v>
      </c>
      <c r="B4" s="13"/>
      <c r="C4" s="14" t="s">
        <v>18</v>
      </c>
      <c r="D4" s="14"/>
      <c r="E4" s="15" t="s">
        <v>24</v>
      </c>
      <c r="F4" s="15"/>
      <c r="G4" s="16" t="s">
        <v>26</v>
      </c>
      <c r="H4" s="16"/>
    </row>
    <row r="5" customFormat="false" ht="30" hidden="false" customHeight="true" outlineLevel="0" collapsed="false">
      <c r="A5" s="17" t="n">
        <f aca="false">COUNT('Task Tracker'!$A$4:$A$144)</f>
        <v>128</v>
      </c>
      <c r="B5" s="17"/>
      <c r="C5" s="18" t="n">
        <f aca="false">COUNTIF('Task Tracker'!$G$4:$G$144,"Complete")</f>
        <v>24</v>
      </c>
      <c r="D5" s="18"/>
      <c r="E5" s="19" t="n">
        <f aca="false">COUNTIF('Task Tracker'!$G$4:$G$144,"In Progress")</f>
        <v>14</v>
      </c>
      <c r="F5" s="19"/>
      <c r="G5" s="20" t="n">
        <f aca="false">COUNTIF('Task Tracker'!$G$4:$G$144,"Not Started")</f>
        <v>90</v>
      </c>
      <c r="H5" s="20"/>
    </row>
    <row r="7" customFormat="false" ht="15" hidden="false" customHeight="false" outlineLevel="0" collapsed="false">
      <c r="A7" s="12" t="s">
        <v>155</v>
      </c>
      <c r="B7" s="12"/>
      <c r="C7" s="12"/>
      <c r="D7" s="12"/>
      <c r="E7" s="12"/>
      <c r="F7" s="12"/>
      <c r="G7" s="12"/>
      <c r="H7" s="12"/>
    </row>
    <row r="8" customFormat="false" ht="15" hidden="false" customHeight="false" outlineLevel="0" collapsed="false">
      <c r="A8" s="21" t="s">
        <v>156</v>
      </c>
      <c r="B8" s="21"/>
      <c r="C8" s="22" t="n">
        <f aca="false">(COUNTIF('Task Tracker'!$G$4:$G$144,"Complete")+0.5*COUNTIF('Task Tracker'!$G$4:$G$144,"In Progress"))/COUNT('Task Tracker'!$A$4:$A$144)</f>
        <v>0.2421875</v>
      </c>
      <c r="D8" s="22"/>
      <c r="E8" s="22"/>
      <c r="F8" s="22"/>
      <c r="G8" s="22"/>
      <c r="H8" s="22"/>
    </row>
    <row r="9" customFormat="false" ht="15" hidden="false" customHeight="false" outlineLevel="0" collapsed="false">
      <c r="A9" s="12" t="s">
        <v>157</v>
      </c>
      <c r="B9" s="12"/>
      <c r="C9" s="12"/>
      <c r="D9" s="12"/>
      <c r="E9" s="12"/>
      <c r="F9" s="12"/>
      <c r="G9" s="12"/>
      <c r="H9" s="12"/>
    </row>
    <row r="10" customFormat="false" ht="15" hidden="false" customHeight="false" outlineLevel="0" collapsed="false">
      <c r="A10" s="2" t="s">
        <v>1</v>
      </c>
      <c r="B10" s="2" t="s">
        <v>2</v>
      </c>
      <c r="C10" s="2" t="s">
        <v>3</v>
      </c>
      <c r="D10" s="2" t="s">
        <v>158</v>
      </c>
      <c r="E10" s="2" t="s">
        <v>26</v>
      </c>
      <c r="F10" s="2" t="s">
        <v>24</v>
      </c>
      <c r="G10" s="2" t="s">
        <v>18</v>
      </c>
      <c r="H10" s="2" t="s">
        <v>159</v>
      </c>
    </row>
    <row r="11" customFormat="false" ht="15" hidden="false" customHeight="false" outlineLevel="0" collapsed="false">
      <c r="A11" s="23" t="n">
        <v>1</v>
      </c>
      <c r="B11" s="24" t="s">
        <v>13</v>
      </c>
      <c r="C11" s="25" t="s">
        <v>14</v>
      </c>
      <c r="D11" s="25" t="n">
        <f aca="false">COUNTIF('Task Tracker'!$A$4:$A$144,1)</f>
        <v>14</v>
      </c>
      <c r="E11" s="25" t="n">
        <f aca="false">COUNTIFS('Task Tracker'!$A$4:$A$144,1,'Task Tracker'!$G$4:$G$144,"Not Started")</f>
        <v>11</v>
      </c>
      <c r="F11" s="25" t="n">
        <f aca="false">COUNTIFS('Task Tracker'!$A$4:$A$144,1,'Task Tracker'!$G$4:$G$144,"In Progress")</f>
        <v>1</v>
      </c>
      <c r="G11" s="25" t="n">
        <f aca="false">COUNTIFS('Task Tracker'!$A$4:$A$144,1,'Task Tracker'!$G$4:$G$144,"Complete")</f>
        <v>2</v>
      </c>
      <c r="H11" s="26" t="n">
        <f aca="false">IFERROR((G11+0.5*F11)/D11,0)</f>
        <v>0.178571428571429</v>
      </c>
    </row>
    <row r="12" customFormat="false" ht="15" hidden="false" customHeight="false" outlineLevel="0" collapsed="false">
      <c r="A12" s="8" t="n">
        <v>2</v>
      </c>
      <c r="B12" s="27" t="s">
        <v>48</v>
      </c>
      <c r="C12" s="10" t="s">
        <v>49</v>
      </c>
      <c r="D12" s="10" t="n">
        <f aca="false">COUNTIF('Task Tracker'!$A$4:$A$144,2)</f>
        <v>13</v>
      </c>
      <c r="E12" s="10" t="n">
        <f aca="false">COUNTIFS('Task Tracker'!$A$4:$A$144,2,'Task Tracker'!$G$4:$G$144,"Not Started")</f>
        <v>10</v>
      </c>
      <c r="F12" s="10" t="n">
        <f aca="false">COUNTIFS('Task Tracker'!$A$4:$A$144,2,'Task Tracker'!$G$4:$G$144,"In Progress")</f>
        <v>1</v>
      </c>
      <c r="G12" s="10" t="n">
        <f aca="false">COUNTIFS('Task Tracker'!$A$4:$A$144,2,'Task Tracker'!$G$4:$G$144,"Complete")</f>
        <v>2</v>
      </c>
      <c r="H12" s="28" t="n">
        <f aca="false">IFERROR((G12+0.5*F12)/D12,0)</f>
        <v>0.192307692307692</v>
      </c>
    </row>
    <row r="13" customFormat="false" ht="15" hidden="false" customHeight="false" outlineLevel="0" collapsed="false">
      <c r="A13" s="23" t="n">
        <v>3</v>
      </c>
      <c r="B13" s="24" t="s">
        <v>59</v>
      </c>
      <c r="C13" s="25" t="s">
        <v>60</v>
      </c>
      <c r="D13" s="25" t="n">
        <f aca="false">COUNTIF('Task Tracker'!$A$4:$A$144,3)</f>
        <v>12</v>
      </c>
      <c r="E13" s="25" t="n">
        <f aca="false">COUNTIFS('Task Tracker'!$A$4:$A$144,3,'Task Tracker'!$G$4:$G$144,"Not Started")</f>
        <v>9</v>
      </c>
      <c r="F13" s="25" t="n">
        <f aca="false">COUNTIFS('Task Tracker'!$A$4:$A$144,3,'Task Tracker'!$G$4:$G$144,"In Progress")</f>
        <v>1</v>
      </c>
      <c r="G13" s="25" t="n">
        <f aca="false">COUNTIFS('Task Tracker'!$A$4:$A$144,3,'Task Tracker'!$G$4:$G$144,"Complete")</f>
        <v>2</v>
      </c>
      <c r="H13" s="26" t="n">
        <f aca="false">IFERROR((G13+0.5*F13)/D13,0)</f>
        <v>0.208333333333333</v>
      </c>
    </row>
    <row r="14" customFormat="false" ht="15" hidden="false" customHeight="false" outlineLevel="0" collapsed="false">
      <c r="A14" s="8" t="n">
        <v>4</v>
      </c>
      <c r="B14" s="27" t="s">
        <v>72</v>
      </c>
      <c r="C14" s="10" t="s">
        <v>73</v>
      </c>
      <c r="D14" s="10" t="n">
        <f aca="false">COUNTIF('Task Tracker'!$A$4:$A$144,4)</f>
        <v>10</v>
      </c>
      <c r="E14" s="10" t="n">
        <f aca="false">COUNTIFS('Task Tracker'!$A$4:$A$144,4,'Task Tracker'!$G$4:$G$144,"Not Started")</f>
        <v>7</v>
      </c>
      <c r="F14" s="10" t="n">
        <f aca="false">COUNTIFS('Task Tracker'!$A$4:$A$144,4,'Task Tracker'!$G$4:$G$144,"In Progress")</f>
        <v>1</v>
      </c>
      <c r="G14" s="10" t="n">
        <f aca="false">COUNTIFS('Task Tracker'!$A$4:$A$144,4,'Task Tracker'!$G$4:$G$144,"Complete")</f>
        <v>2</v>
      </c>
      <c r="H14" s="28" t="n">
        <f aca="false">IFERROR((G14+0.5*F14)/D14,0)</f>
        <v>0.25</v>
      </c>
    </row>
    <row r="15" customFormat="false" ht="15" hidden="false" customHeight="false" outlineLevel="0" collapsed="false">
      <c r="A15" s="23" t="n">
        <v>5</v>
      </c>
      <c r="B15" s="24" t="s">
        <v>89</v>
      </c>
      <c r="C15" s="25" t="s">
        <v>90</v>
      </c>
      <c r="D15" s="25" t="n">
        <f aca="false">COUNTIF('Task Tracker'!$A$4:$A$144,5)</f>
        <v>12</v>
      </c>
      <c r="E15" s="25" t="n">
        <f aca="false">COUNTIFS('Task Tracker'!$A$4:$A$144,5,'Task Tracker'!$G$4:$G$144,"Not Started")</f>
        <v>11</v>
      </c>
      <c r="F15" s="25" t="n">
        <f aca="false">COUNTIFS('Task Tracker'!$A$4:$A$144,5,'Task Tracker'!$G$4:$G$144,"In Progress")</f>
        <v>1</v>
      </c>
      <c r="G15" s="25" t="n">
        <f aca="false">COUNTIFS('Task Tracker'!$A$4:$A$144,5,'Task Tracker'!$G$4:$G$144,"Complete")</f>
        <v>0</v>
      </c>
      <c r="H15" s="26" t="n">
        <f aca="false">IFERROR((G15+0.5*F15)/D15,0)</f>
        <v>0.0416666666666667</v>
      </c>
    </row>
    <row r="16" customFormat="false" ht="15" hidden="false" customHeight="false" outlineLevel="0" collapsed="false">
      <c r="A16" s="8" t="n">
        <v>6</v>
      </c>
      <c r="B16" s="27" t="s">
        <v>107</v>
      </c>
      <c r="C16" s="10" t="s">
        <v>108</v>
      </c>
      <c r="D16" s="10" t="n">
        <f aca="false">COUNTIF('Task Tracker'!$A$4:$A$144,6)</f>
        <v>14</v>
      </c>
      <c r="E16" s="10" t="n">
        <f aca="false">COUNTIFS('Task Tracker'!$A$4:$A$144,6,'Task Tracker'!$G$4:$G$144,"Not Started")</f>
        <v>11</v>
      </c>
      <c r="F16" s="10" t="n">
        <f aca="false">COUNTIFS('Task Tracker'!$A$4:$A$144,6,'Task Tracker'!$G$4:$G$144,"In Progress")</f>
        <v>1</v>
      </c>
      <c r="G16" s="10" t="n">
        <f aca="false">COUNTIFS('Task Tracker'!$A$4:$A$144,6,'Task Tracker'!$G$4:$G$144,"Complete")</f>
        <v>2</v>
      </c>
      <c r="H16" s="28" t="n">
        <f aca="false">IFERROR((G16+0.5*F16)/D16,0)</f>
        <v>0.178571428571429</v>
      </c>
    </row>
    <row r="17" customFormat="false" ht="15" hidden="false" customHeight="false" outlineLevel="0" collapsed="false">
      <c r="A17" s="23" t="n">
        <v>7</v>
      </c>
      <c r="B17" s="24" t="s">
        <v>124</v>
      </c>
      <c r="C17" s="25" t="s">
        <v>125</v>
      </c>
      <c r="D17" s="25" t="n">
        <f aca="false">COUNTIF('Task Tracker'!$A$4:$A$144,7)</f>
        <v>12</v>
      </c>
      <c r="E17" s="25" t="n">
        <f aca="false">COUNTIFS('Task Tracker'!$A$4:$A$144,7,'Task Tracker'!$G$4:$G$144,"Not Started")</f>
        <v>8</v>
      </c>
      <c r="F17" s="25" t="n">
        <f aca="false">COUNTIFS('Task Tracker'!$A$4:$A$144,7,'Task Tracker'!$G$4:$G$144,"In Progress")</f>
        <v>0</v>
      </c>
      <c r="G17" s="25" t="n">
        <f aca="false">COUNTIFS('Task Tracker'!$A$4:$A$144,7,'Task Tracker'!$G$4:$G$144,"Complete")</f>
        <v>4</v>
      </c>
      <c r="H17" s="26" t="n">
        <f aca="false">IFERROR((G17+0.5*F17)/D17,0)</f>
        <v>0.333333333333333</v>
      </c>
    </row>
    <row r="18" customFormat="false" ht="15" hidden="false" customHeight="false" outlineLevel="0" collapsed="false">
      <c r="A18" s="8" t="n">
        <v>8</v>
      </c>
      <c r="B18" s="27" t="s">
        <v>127</v>
      </c>
      <c r="C18" s="10" t="s">
        <v>128</v>
      </c>
      <c r="D18" s="10" t="n">
        <f aca="false">COUNTIF('Task Tracker'!$A$4:$A$144,8)</f>
        <v>3</v>
      </c>
      <c r="E18" s="10" t="n">
        <f aca="false">COUNTIFS('Task Tracker'!$A$4:$A$144,8,'Task Tracker'!$G$4:$G$144,"Not Started")</f>
        <v>0</v>
      </c>
      <c r="F18" s="10" t="n">
        <f aca="false">COUNTIFS('Task Tracker'!$A$4:$A$144,8,'Task Tracker'!$G$4:$G$144,"In Progress")</f>
        <v>1</v>
      </c>
      <c r="G18" s="10" t="n">
        <f aca="false">COUNTIFS('Task Tracker'!$A$4:$A$144,8,'Task Tracker'!$G$4:$G$144,"Complete")</f>
        <v>2</v>
      </c>
      <c r="H18" s="28" t="n">
        <f aca="false">IFERROR((G18+0.5*F18)/D18,0)</f>
        <v>0.833333333333333</v>
      </c>
    </row>
    <row r="19" customFormat="false" ht="15" hidden="false" customHeight="false" outlineLevel="0" collapsed="false">
      <c r="A19" s="23" t="n">
        <v>9</v>
      </c>
      <c r="B19" s="24" t="s">
        <v>130</v>
      </c>
      <c r="C19" s="25" t="s">
        <v>131</v>
      </c>
      <c r="D19" s="25" t="n">
        <f aca="false">COUNTIF('Task Tracker'!$A$4:$A$144,9)</f>
        <v>14</v>
      </c>
      <c r="E19" s="25" t="n">
        <f aca="false">COUNTIFS('Task Tracker'!$A$4:$A$144,9,'Task Tracker'!$G$4:$G$144,"Not Started")</f>
        <v>14</v>
      </c>
      <c r="F19" s="25" t="n">
        <f aca="false">COUNTIFS('Task Tracker'!$A$4:$A$144,9,'Task Tracker'!$G$4:$G$144,"In Progress")</f>
        <v>0</v>
      </c>
      <c r="G19" s="25" t="n">
        <f aca="false">COUNTIFS('Task Tracker'!$A$4:$A$144,9,'Task Tracker'!$G$4:$G$144,"Complete")</f>
        <v>0</v>
      </c>
      <c r="H19" s="26" t="n">
        <f aca="false">IFERROR((G19+0.5*F19)/D19,0)</f>
        <v>0</v>
      </c>
    </row>
    <row r="20" customFormat="false" ht="15" hidden="false" customHeight="false" outlineLevel="0" collapsed="false">
      <c r="A20" s="8" t="n">
        <v>10</v>
      </c>
      <c r="B20" s="27" t="s">
        <v>133</v>
      </c>
      <c r="C20" s="10" t="s">
        <v>134</v>
      </c>
      <c r="D20" s="10" t="n">
        <f aca="false">COUNTIF('Task Tracker'!$A$4:$A$144,10)</f>
        <v>12</v>
      </c>
      <c r="E20" s="10" t="n">
        <f aca="false">COUNTIFS('Task Tracker'!$A$4:$A$144,10,'Task Tracker'!$G$4:$G$144,"Not Started")</f>
        <v>9</v>
      </c>
      <c r="F20" s="10" t="n">
        <f aca="false">COUNTIFS('Task Tracker'!$A$4:$A$144,10,'Task Tracker'!$G$4:$G$144,"In Progress")</f>
        <v>1</v>
      </c>
      <c r="G20" s="10" t="n">
        <f aca="false">COUNTIFS('Task Tracker'!$A$4:$A$144,10,'Task Tracker'!$G$4:$G$144,"Complete")</f>
        <v>2</v>
      </c>
      <c r="H20" s="28" t="n">
        <f aca="false">IFERROR((G20+0.5*F20)/D20,0)</f>
        <v>0.208333333333333</v>
      </c>
    </row>
    <row r="21" customFormat="false" ht="15" hidden="false" customHeight="false" outlineLevel="0" collapsed="false">
      <c r="A21" s="23" t="n">
        <v>11</v>
      </c>
      <c r="B21" s="24" t="s">
        <v>136</v>
      </c>
      <c r="C21" s="25" t="s">
        <v>137</v>
      </c>
      <c r="D21" s="25" t="n">
        <f aca="false">COUNTIF('Task Tracker'!$A$4:$A$144,11)</f>
        <v>3</v>
      </c>
      <c r="E21" s="25" t="n">
        <f aca="false">COUNTIFS('Task Tracker'!$A$4:$A$144,11,'Task Tracker'!$G$4:$G$144,"Not Started")</f>
        <v>0</v>
      </c>
      <c r="F21" s="25" t="n">
        <f aca="false">COUNTIFS('Task Tracker'!$A$4:$A$144,11,'Task Tracker'!$G$4:$G$144,"In Progress")</f>
        <v>2</v>
      </c>
      <c r="G21" s="25" t="n">
        <f aca="false">COUNTIFS('Task Tracker'!$A$4:$A$144,11,'Task Tracker'!$G$4:$G$144,"Complete")</f>
        <v>1</v>
      </c>
      <c r="H21" s="26" t="n">
        <f aca="false">IFERROR((G21+0.5*F21)/D21,0)</f>
        <v>0.666666666666667</v>
      </c>
    </row>
    <row r="22" customFormat="false" ht="15" hidden="false" customHeight="false" outlineLevel="0" collapsed="false">
      <c r="A22" s="8" t="n">
        <v>12</v>
      </c>
      <c r="B22" s="27" t="s">
        <v>139</v>
      </c>
      <c r="C22" s="10" t="s">
        <v>137</v>
      </c>
      <c r="D22" s="10" t="n">
        <f aca="false">COUNTIF('Task Tracker'!$A$4:$A$144,12)</f>
        <v>3</v>
      </c>
      <c r="E22" s="10" t="n">
        <f aca="false">COUNTIFS('Task Tracker'!$A$4:$A$144,12,'Task Tracker'!$G$4:$G$144,"Not Started")</f>
        <v>0</v>
      </c>
      <c r="F22" s="10" t="n">
        <f aca="false">COUNTIFS('Task Tracker'!$A$4:$A$144,12,'Task Tracker'!$G$4:$G$144,"In Progress")</f>
        <v>1</v>
      </c>
      <c r="G22" s="10" t="n">
        <f aca="false">COUNTIFS('Task Tracker'!$A$4:$A$144,12,'Task Tracker'!$G$4:$G$144,"Complete")</f>
        <v>2</v>
      </c>
      <c r="H22" s="28" t="n">
        <f aca="false">IFERROR((G22+0.5*F22)/D22,0)</f>
        <v>0.833333333333333</v>
      </c>
    </row>
    <row r="23" customFormat="false" ht="15" hidden="false" customHeight="false" outlineLevel="0" collapsed="false">
      <c r="A23" s="23" t="n">
        <v>13</v>
      </c>
      <c r="B23" s="24" t="s">
        <v>141</v>
      </c>
      <c r="C23" s="25"/>
      <c r="D23" s="25" t="n">
        <f aca="false">COUNTIF('Task Tracker'!$A$4:$A$144,13)</f>
        <v>3</v>
      </c>
      <c r="E23" s="25" t="n">
        <f aca="false">COUNTIFS('Task Tracker'!$A$4:$A$144,13,'Task Tracker'!$G$4:$G$144,"Not Started")</f>
        <v>0</v>
      </c>
      <c r="F23" s="25" t="n">
        <f aca="false">COUNTIFS('Task Tracker'!$A$4:$A$144,13,'Task Tracker'!$G$4:$G$144,"In Progress")</f>
        <v>1</v>
      </c>
      <c r="G23" s="25" t="n">
        <f aca="false">COUNTIFS('Task Tracker'!$A$4:$A$144,13,'Task Tracker'!$G$4:$G$144,"Complete")</f>
        <v>2</v>
      </c>
      <c r="H23" s="26" t="n">
        <f aca="false">IFERROR((G23+0.5*F23)/D23,0)</f>
        <v>0.833333333333333</v>
      </c>
    </row>
    <row r="24" customFormat="false" ht="15" hidden="false" customHeight="false" outlineLevel="0" collapsed="false">
      <c r="A24" s="8" t="n">
        <v>14</v>
      </c>
      <c r="B24" s="27" t="s">
        <v>150</v>
      </c>
      <c r="C24" s="10"/>
      <c r="D24" s="10" t="n">
        <f aca="false">COUNTIF('Task Tracker'!$A$4:$A$144,14)</f>
        <v>3</v>
      </c>
      <c r="E24" s="10" t="n">
        <f aca="false">COUNTIFS('Task Tracker'!$A$4:$A$144,14,'Task Tracker'!$G$4:$G$144,"Not Started")</f>
        <v>0</v>
      </c>
      <c r="F24" s="10" t="n">
        <f aca="false">COUNTIFS('Task Tracker'!$A$4:$A$144,14,'Task Tracker'!$G$4:$G$144,"In Progress")</f>
        <v>2</v>
      </c>
      <c r="G24" s="10" t="n">
        <f aca="false">COUNTIFS('Task Tracker'!$A$4:$A$144,14,'Task Tracker'!$G$4:$G$144,"Complete")</f>
        <v>1</v>
      </c>
      <c r="H24" s="28" t="n">
        <f aca="false">IFERROR((G24+0.5*F24)/D24,0)</f>
        <v>0.666666666666667</v>
      </c>
    </row>
    <row r="25" customFormat="false" ht="15" hidden="false" customHeight="false" outlineLevel="0" collapsed="false">
      <c r="A25" s="29"/>
      <c r="B25" s="30" t="s">
        <v>160</v>
      </c>
      <c r="C25" s="29"/>
      <c r="D25" s="29" t="n">
        <f aca="false">SUM(D11:D24)</f>
        <v>128</v>
      </c>
      <c r="E25" s="29" t="n">
        <f aca="false">SUM(E11:E24)</f>
        <v>90</v>
      </c>
      <c r="F25" s="29" t="n">
        <f aca="false">SUM(F11:F24)</f>
        <v>14</v>
      </c>
      <c r="G25" s="29" t="n">
        <f aca="false">SUM(G11:G24)</f>
        <v>24</v>
      </c>
      <c r="H25" s="31" t="n">
        <f aca="false">IFERROR((G25+0.5*F25)/D25,0)</f>
        <v>0.2421875</v>
      </c>
    </row>
    <row r="27" customFormat="false" ht="15" hidden="false" customHeight="false" outlineLevel="0" collapsed="false">
      <c r="A27" s="12" t="s">
        <v>161</v>
      </c>
      <c r="B27" s="12"/>
      <c r="C27" s="12"/>
      <c r="D27" s="12"/>
      <c r="E27" s="12"/>
      <c r="F27" s="12"/>
      <c r="G27" s="12"/>
      <c r="H27" s="12"/>
    </row>
    <row r="28" customFormat="false" ht="15" hidden="false" customHeight="false" outlineLevel="0" collapsed="false">
      <c r="A28" s="32" t="s">
        <v>162</v>
      </c>
      <c r="B28" s="32"/>
      <c r="C28" s="32" t="s">
        <v>163</v>
      </c>
      <c r="D28" s="32"/>
      <c r="E28" s="32"/>
      <c r="F28" s="32"/>
      <c r="G28" s="32"/>
      <c r="H28" s="32" t="s">
        <v>7</v>
      </c>
    </row>
    <row r="29" customFormat="false" ht="15" hidden="false" customHeight="false" outlineLevel="0" collapsed="false">
      <c r="A29" s="33" t="n">
        <v>46173</v>
      </c>
      <c r="B29" s="33"/>
      <c r="C29" s="24" t="s">
        <v>164</v>
      </c>
      <c r="D29" s="24"/>
      <c r="E29" s="24"/>
      <c r="F29" s="24"/>
      <c r="G29" s="24"/>
      <c r="H29" s="23" t="s">
        <v>18</v>
      </c>
    </row>
    <row r="30" customFormat="false" ht="15" hidden="false" customHeight="false" outlineLevel="0" collapsed="false">
      <c r="A30" s="33" t="n">
        <v>46214</v>
      </c>
      <c r="B30" s="33"/>
      <c r="C30" s="24" t="s">
        <v>165</v>
      </c>
      <c r="D30" s="24"/>
      <c r="E30" s="24"/>
      <c r="F30" s="24"/>
      <c r="G30" s="24"/>
      <c r="H30" s="23" t="s">
        <v>24</v>
      </c>
    </row>
    <row r="31" customFormat="false" ht="15" hidden="false" customHeight="false" outlineLevel="0" collapsed="false">
      <c r="A31" s="33" t="n">
        <v>46252</v>
      </c>
      <c r="B31" s="33"/>
      <c r="C31" s="24" t="s">
        <v>166</v>
      </c>
      <c r="D31" s="24"/>
      <c r="E31" s="24"/>
      <c r="F31" s="24"/>
      <c r="G31" s="24"/>
      <c r="H31" s="23" t="s">
        <v>26</v>
      </c>
    </row>
    <row r="32" customFormat="false" ht="15" hidden="false" customHeight="false" outlineLevel="0" collapsed="false">
      <c r="A32" s="33" t="n">
        <v>46283</v>
      </c>
      <c r="B32" s="33"/>
      <c r="C32" s="24" t="s">
        <v>167</v>
      </c>
      <c r="D32" s="24"/>
      <c r="E32" s="24"/>
      <c r="F32" s="24"/>
      <c r="G32" s="24"/>
      <c r="H32" s="23" t="s">
        <v>26</v>
      </c>
    </row>
    <row r="33" customFormat="false" ht="15" hidden="false" customHeight="false" outlineLevel="0" collapsed="false">
      <c r="A33" s="33" t="n">
        <v>46323</v>
      </c>
      <c r="B33" s="33"/>
      <c r="C33" s="24" t="s">
        <v>168</v>
      </c>
      <c r="D33" s="24"/>
      <c r="E33" s="24"/>
      <c r="F33" s="24"/>
      <c r="G33" s="24"/>
      <c r="H33" s="23" t="s">
        <v>26</v>
      </c>
    </row>
    <row r="34" customFormat="false" ht="15" hidden="false" customHeight="false" outlineLevel="0" collapsed="false">
      <c r="A34" s="33" t="n">
        <v>46334</v>
      </c>
      <c r="B34" s="33"/>
      <c r="C34" s="24" t="s">
        <v>169</v>
      </c>
      <c r="D34" s="24"/>
      <c r="E34" s="24"/>
      <c r="F34" s="24"/>
      <c r="G34" s="24"/>
      <c r="H34" s="23" t="s">
        <v>26</v>
      </c>
    </row>
    <row r="35" customFormat="false" ht="15" hidden="false" customHeight="false" outlineLevel="0" collapsed="false">
      <c r="A35" s="33" t="n">
        <v>46350</v>
      </c>
      <c r="B35" s="33"/>
      <c r="C35" s="24" t="s">
        <v>170</v>
      </c>
      <c r="D35" s="24"/>
      <c r="E35" s="24"/>
      <c r="F35" s="24"/>
      <c r="G35" s="24"/>
      <c r="H35" s="23" t="s">
        <v>26</v>
      </c>
    </row>
    <row r="37" customFormat="false" ht="15" hidden="false" customHeight="false" outlineLevel="0" collapsed="false">
      <c r="A37" s="34" t="s">
        <v>171</v>
      </c>
      <c r="B37" s="34"/>
      <c r="C37" s="35" t="n">
        <f aca="true">TODAY()</f>
        <v>46196</v>
      </c>
    </row>
  </sheetData>
  <mergeCells count="32">
    <mergeCell ref="A1:H1"/>
    <mergeCell ref="A3:H3"/>
    <mergeCell ref="A4:B4"/>
    <mergeCell ref="C4:D4"/>
    <mergeCell ref="E4:F4"/>
    <mergeCell ref="G4:H4"/>
    <mergeCell ref="A5:B5"/>
    <mergeCell ref="C5:D5"/>
    <mergeCell ref="E5:F5"/>
    <mergeCell ref="G5:H5"/>
    <mergeCell ref="A7:H7"/>
    <mergeCell ref="A8:B8"/>
    <mergeCell ref="C8:H8"/>
    <mergeCell ref="A9:H9"/>
    <mergeCell ref="A27:H27"/>
    <mergeCell ref="A28:B28"/>
    <mergeCell ref="C28:G28"/>
    <mergeCell ref="A29:B29"/>
    <mergeCell ref="C29:G29"/>
    <mergeCell ref="A30:B30"/>
    <mergeCell ref="C30:G30"/>
    <mergeCell ref="A31:B31"/>
    <mergeCell ref="C31:G31"/>
    <mergeCell ref="A32:B32"/>
    <mergeCell ref="C32:G32"/>
    <mergeCell ref="A33:B33"/>
    <mergeCell ref="C33:G33"/>
    <mergeCell ref="A34:B34"/>
    <mergeCell ref="C34:G34"/>
    <mergeCell ref="A35:B35"/>
    <mergeCell ref="C35:G35"/>
    <mergeCell ref="A37:B37"/>
  </mergeCells>
  <conditionalFormatting sqref="H11:H24">
    <cfRule type="dataBar" priority="2">
      <dataBar showValue="1" minLength="10" maxLength="90">
        <cfvo type="num" val="0"/>
        <cfvo type="num" val="1"/>
        <color rgb="FF70AD47"/>
      </dataBar>
      <extLst>
        <ext xmlns:x14="http://schemas.microsoft.com/office/spreadsheetml/2009/9/main" uri="{B025F937-C7B1-47D3-B67F-A62EFF666E3E}">
          <x14:id>{962EAF1F-D48E-4AD1-A4DC-552E9449C0C0}</x14:id>
        </ext>
      </extLst>
    </cfRule>
  </conditionalFormatting>
  <conditionalFormatting sqref="H29:H35">
    <cfRule type="expression" priority="3" aboveAverage="0" equalAverage="0" bottom="0" percent="0" rank="0" text="" dxfId="0">
      <formula>EXACT($H29,"Complete")</formula>
    </cfRule>
    <cfRule type="expression" priority="4" aboveAverage="0" equalAverage="0" bottom="0" percent="0" rank="0" text="" dxfId="1">
      <formula>EXACT($H29,"In Progress")</formula>
    </cfRule>
    <cfRule type="expression" priority="5" aboveAverage="0" equalAverage="0" bottom="0" percent="0" rank="0" text="" dxfId="2">
      <formula>EXACT($H29,"Not Started")</formula>
    </cfRule>
    <cfRule type="expression" priority="6" aboveAverage="0" equalAverage="0" bottom="0" percent="0" rank="0" text="" dxfId="3">
      <formula>EXACT($H29,"Blocked")</formula>
    </cfRule>
  </conditionalFormatting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62EAF1F-D48E-4AD1-A4DC-552E9449C0C0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70AD47"/>
              <x14:axisColor rgb="FF000000"/>
            </x14:dataBar>
          </x14:cfRule>
          <xm:sqref>H11:H24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L1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2" topLeftCell="G3" activePane="bottomRight" state="frozen"/>
      <selection pane="topLeft" activeCell="A1" activeCellId="0" sqref="A1"/>
      <selection pane="topRight" activeCell="G1" activeCellId="0" sqref="G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4"/>
    <col collapsed="false" customWidth="true" hidden="false" outlineLevel="0" max="3" min="3" style="0" width="28"/>
    <col collapsed="false" customWidth="true" hidden="false" outlineLevel="0" max="4" min="4" style="0" width="12"/>
    <col collapsed="false" customWidth="true" hidden="false" outlineLevel="0" max="6" min="5" style="0" width="11"/>
    <col collapsed="false" customWidth="true" hidden="false" outlineLevel="0" max="38" min="7" style="0" width="3.61"/>
  </cols>
  <sheetData>
    <row r="1" customFormat="false" ht="24" hidden="false" customHeight="true" outlineLevel="0" collapsed="false">
      <c r="A1" s="36" t="s">
        <v>172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</row>
    <row r="2" customFormat="false" ht="42" hidden="false" customHeight="true" outlineLevel="0" collapsed="false">
      <c r="A2" s="37" t="s">
        <v>1</v>
      </c>
      <c r="B2" s="37" t="s">
        <v>2</v>
      </c>
      <c r="C2" s="37" t="s">
        <v>5</v>
      </c>
      <c r="D2" s="37" t="s">
        <v>7</v>
      </c>
      <c r="E2" s="37" t="s">
        <v>8</v>
      </c>
      <c r="F2" s="37" t="s">
        <v>9</v>
      </c>
      <c r="G2" s="38" t="n">
        <v>46133</v>
      </c>
      <c r="H2" s="38" t="n">
        <v>46140</v>
      </c>
      <c r="I2" s="38" t="n">
        <v>46147</v>
      </c>
      <c r="J2" s="38" t="n">
        <v>46154</v>
      </c>
      <c r="K2" s="38" t="n">
        <v>46161</v>
      </c>
      <c r="L2" s="38" t="n">
        <v>46168</v>
      </c>
      <c r="M2" s="38" t="n">
        <v>46175</v>
      </c>
      <c r="N2" s="38" t="n">
        <v>46182</v>
      </c>
      <c r="O2" s="38" t="n">
        <v>46189</v>
      </c>
      <c r="P2" s="38" t="n">
        <v>46196</v>
      </c>
      <c r="Q2" s="38" t="n">
        <v>46203</v>
      </c>
      <c r="R2" s="38" t="n">
        <v>46210</v>
      </c>
      <c r="S2" s="38" t="n">
        <v>46217</v>
      </c>
      <c r="T2" s="38" t="n">
        <v>46224</v>
      </c>
      <c r="U2" s="38" t="n">
        <v>46231</v>
      </c>
      <c r="V2" s="38" t="n">
        <v>46238</v>
      </c>
      <c r="W2" s="38" t="n">
        <v>46245</v>
      </c>
      <c r="X2" s="38" t="n">
        <v>46252</v>
      </c>
      <c r="Y2" s="38" t="n">
        <v>46259</v>
      </c>
      <c r="Z2" s="38" t="n">
        <v>46266</v>
      </c>
      <c r="AA2" s="38" t="n">
        <v>46273</v>
      </c>
      <c r="AB2" s="38" t="n">
        <v>46280</v>
      </c>
      <c r="AC2" s="38" t="n">
        <v>46287</v>
      </c>
      <c r="AD2" s="38" t="n">
        <v>46294</v>
      </c>
      <c r="AE2" s="38" t="n">
        <v>46301</v>
      </c>
      <c r="AF2" s="38" t="n">
        <v>46308</v>
      </c>
      <c r="AG2" s="38" t="n">
        <v>46315</v>
      </c>
      <c r="AH2" s="38" t="n">
        <v>46322</v>
      </c>
      <c r="AI2" s="38" t="n">
        <v>46329</v>
      </c>
      <c r="AJ2" s="38" t="n">
        <v>46336</v>
      </c>
      <c r="AK2" s="38" t="n">
        <v>46343</v>
      </c>
      <c r="AL2" s="38" t="n">
        <v>46350</v>
      </c>
    </row>
    <row r="3" customFormat="false" ht="15" hidden="false" customHeight="false" outlineLevel="0" collapsed="false">
      <c r="A3" s="39" t="s">
        <v>173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</row>
    <row r="4" customFormat="false" ht="15" hidden="false" customHeight="false" outlineLevel="0" collapsed="false">
      <c r="A4" s="40" t="n">
        <f aca="false">'Task Tracker'!A4</f>
        <v>1</v>
      </c>
      <c r="B4" s="41" t="str">
        <f aca="false">'Task Tracker'!B4</f>
        <v>Boiler System</v>
      </c>
      <c r="C4" s="41" t="str">
        <f aca="false">'Task Tracker'!E4</f>
        <v>Technical Specs Review</v>
      </c>
      <c r="D4" s="42" t="str">
        <f aca="false">'Task Tracker'!G4</f>
        <v>Complete</v>
      </c>
      <c r="E4" s="43" t="n">
        <f aca="false">'Task Tracker'!H4</f>
        <v>46133</v>
      </c>
      <c r="F4" s="43" t="n">
        <f aca="false">'Task Tracker'!I4</f>
        <v>46146</v>
      </c>
    </row>
    <row r="5" customFormat="false" ht="15" hidden="false" customHeight="false" outlineLevel="0" collapsed="false">
      <c r="A5" s="40" t="n">
        <f aca="false">'Task Tracker'!A5</f>
        <v>1</v>
      </c>
      <c r="B5" s="41" t="str">
        <f aca="false">'Task Tracker'!B5</f>
        <v>Boiler System</v>
      </c>
      <c r="C5" s="41" t="str">
        <f aca="false">'Task Tracker'!E5</f>
        <v>P&amp;ID Drawing Approval</v>
      </c>
      <c r="D5" s="42" t="str">
        <f aca="false">'Task Tracker'!G5</f>
        <v>Complete</v>
      </c>
      <c r="E5" s="43" t="n">
        <f aca="false">'Task Tracker'!H5</f>
        <v>46140</v>
      </c>
      <c r="F5" s="43" t="n">
        <f aca="false">'Task Tracker'!I5</f>
        <v>46153</v>
      </c>
    </row>
    <row r="6" customFormat="false" ht="15" hidden="false" customHeight="false" outlineLevel="0" collapsed="false">
      <c r="A6" s="40" t="n">
        <f aca="false">'Task Tracker'!A6</f>
        <v>1</v>
      </c>
      <c r="B6" s="41" t="str">
        <f aca="false">'Task Tracker'!B6</f>
        <v>Boiler System</v>
      </c>
      <c r="C6" s="41" t="str">
        <f aca="false">'Task Tracker'!E6</f>
        <v>Vendor Finalization</v>
      </c>
      <c r="D6" s="42" t="str">
        <f aca="false">'Task Tracker'!G6</f>
        <v>In Progress</v>
      </c>
      <c r="E6" s="43" t="n">
        <f aca="false">'Task Tracker'!H6</f>
        <v>46153</v>
      </c>
      <c r="F6" s="43" t="n">
        <f aca="false">'Task Tracker'!I6</f>
        <v>46214</v>
      </c>
    </row>
    <row r="7" customFormat="false" ht="15" hidden="false" customHeight="false" outlineLevel="0" collapsed="false">
      <c r="A7" s="40" t="n">
        <f aca="false">'Task Tracker'!A7</f>
        <v>1</v>
      </c>
      <c r="B7" s="41" t="str">
        <f aca="false">'Task Tracker'!B7</f>
        <v>Boiler System</v>
      </c>
      <c r="C7" s="41" t="str">
        <f aca="false">'Task Tracker'!E7</f>
        <v>Purchase Order Issued</v>
      </c>
      <c r="D7" s="42" t="str">
        <f aca="false">'Task Tracker'!G7</f>
        <v>Not Started</v>
      </c>
      <c r="E7" s="43" t="n">
        <f aca="false">'Task Tracker'!H7</f>
        <v>46214</v>
      </c>
      <c r="F7" s="43" t="n">
        <f aca="false">'Task Tracker'!I7</f>
        <v>46221</v>
      </c>
    </row>
    <row r="8" customFormat="false" ht="15" hidden="false" customHeight="false" outlineLevel="0" collapsed="false">
      <c r="A8" s="40" t="n">
        <f aca="false">'Task Tracker'!A8</f>
        <v>1</v>
      </c>
      <c r="B8" s="41" t="str">
        <f aca="false">'Task Tracker'!B8</f>
        <v>Boiler System</v>
      </c>
      <c r="C8" s="41" t="str">
        <f aca="false">'Task Tracker'!E8</f>
        <v>Manufacturing &amp; QC</v>
      </c>
      <c r="D8" s="42" t="str">
        <f aca="false">'Task Tracker'!G8</f>
        <v>Not Started</v>
      </c>
      <c r="E8" s="43" t="n">
        <f aca="false">'Task Tracker'!H8</f>
        <v>46221</v>
      </c>
      <c r="F8" s="43" t="n">
        <f aca="false">'Task Tracker'!I8</f>
        <v>46252</v>
      </c>
    </row>
    <row r="9" customFormat="false" ht="15" hidden="false" customHeight="false" outlineLevel="0" collapsed="false">
      <c r="A9" s="40" t="n">
        <f aca="false">'Task Tracker'!A9</f>
        <v>1</v>
      </c>
      <c r="B9" s="41" t="str">
        <f aca="false">'Task Tracker'!B9</f>
        <v>Boiler System</v>
      </c>
      <c r="C9" s="41" t="str">
        <f aca="false">'Task Tracker'!E9</f>
        <v>Shipping / Sea Freight</v>
      </c>
      <c r="D9" s="42" t="str">
        <f aca="false">'Task Tracker'!G9</f>
        <v>Not Started</v>
      </c>
      <c r="E9" s="43" t="n">
        <f aca="false">'Task Tracker'!H9</f>
        <v>46252</v>
      </c>
      <c r="F9" s="43" t="n">
        <f aca="false">'Task Tracker'!I9</f>
        <v>46283</v>
      </c>
    </row>
    <row r="10" customFormat="false" ht="15" hidden="false" customHeight="false" outlineLevel="0" collapsed="false">
      <c r="A10" s="40" t="n">
        <f aca="false">'Task Tracker'!A10</f>
        <v>1</v>
      </c>
      <c r="B10" s="41" t="str">
        <f aca="false">'Task Tracker'!B10</f>
        <v>Boiler System</v>
      </c>
      <c r="C10" s="41" t="str">
        <f aca="false">'Task Tracker'!E10</f>
        <v>Customs Clearance</v>
      </c>
      <c r="D10" s="42" t="str">
        <f aca="false">'Task Tracker'!G10</f>
        <v>Not Started</v>
      </c>
      <c r="E10" s="43" t="n">
        <f aca="false">'Task Tracker'!H10</f>
        <v>46283</v>
      </c>
      <c r="F10" s="43" t="n">
        <f aca="false">'Task Tracker'!I10</f>
        <v>46313</v>
      </c>
    </row>
    <row r="11" customFormat="false" ht="15" hidden="false" customHeight="false" outlineLevel="0" collapsed="false">
      <c r="A11" s="40" t="n">
        <f aca="false">'Task Tracker'!A11</f>
        <v>1</v>
      </c>
      <c r="B11" s="41" t="str">
        <f aca="false">'Task Tracker'!B11</f>
        <v>Boiler System</v>
      </c>
      <c r="C11" s="41" t="str">
        <f aca="false">'Task Tracker'!E11</f>
        <v>Site Delivery</v>
      </c>
      <c r="D11" s="42" t="str">
        <f aca="false">'Task Tracker'!G11</f>
        <v>Not Started</v>
      </c>
      <c r="E11" s="43" t="n">
        <f aca="false">'Task Tracker'!H11</f>
        <v>46313</v>
      </c>
      <c r="F11" s="43" t="n">
        <f aca="false">'Task Tracker'!I11</f>
        <v>46323</v>
      </c>
    </row>
    <row r="12" customFormat="false" ht="15" hidden="false" customHeight="false" outlineLevel="0" collapsed="false">
      <c r="A12" s="40" t="n">
        <f aca="false">'Task Tracker'!A12</f>
        <v>1</v>
      </c>
      <c r="B12" s="41" t="str">
        <f aca="false">'Task Tracker'!B12</f>
        <v>Boiler System</v>
      </c>
      <c r="C12" s="41" t="str">
        <f aca="false">'Task Tracker'!E12</f>
        <v>Civil &amp; Foundation Prep</v>
      </c>
      <c r="D12" s="42" t="str">
        <f aca="false">'Task Tracker'!G12</f>
        <v>Not Started</v>
      </c>
      <c r="E12" s="43" t="n">
        <f aca="false">'Task Tracker'!H12</f>
        <v>46191</v>
      </c>
      <c r="F12" s="43" t="n">
        <f aca="false">'Task Tracker'!I12</f>
        <v>46236</v>
      </c>
    </row>
    <row r="13" customFormat="false" ht="15" hidden="false" customHeight="false" outlineLevel="0" collapsed="false">
      <c r="A13" s="40" t="n">
        <f aca="false">'Task Tracker'!A13</f>
        <v>1</v>
      </c>
      <c r="B13" s="41" t="str">
        <f aca="false">'Task Tracker'!B13</f>
        <v>Boiler System</v>
      </c>
      <c r="C13" s="41" t="str">
        <f aca="false">'Task Tracker'!E13</f>
        <v>Equipment Installation</v>
      </c>
      <c r="D13" s="42" t="str">
        <f aca="false">'Task Tracker'!G13</f>
        <v>Not Started</v>
      </c>
      <c r="E13" s="43" t="n">
        <f aca="false">'Task Tracker'!H13</f>
        <v>46323</v>
      </c>
      <c r="F13" s="43" t="n">
        <f aca="false">'Task Tracker'!I13</f>
        <v>46334</v>
      </c>
    </row>
    <row r="14" customFormat="false" ht="15" hidden="false" customHeight="false" outlineLevel="0" collapsed="false">
      <c r="A14" s="40" t="n">
        <f aca="false">'Task Tracker'!A14</f>
        <v>1</v>
      </c>
      <c r="B14" s="41" t="str">
        <f aca="false">'Task Tracker'!B14</f>
        <v>Boiler System</v>
      </c>
      <c r="C14" s="41" t="str">
        <f aca="false">'Task Tracker'!E14</f>
        <v>Piping &amp; Connections</v>
      </c>
      <c r="D14" s="42" t="str">
        <f aca="false">'Task Tracker'!G14</f>
        <v>Not Started</v>
      </c>
      <c r="E14" s="43" t="n">
        <f aca="false">'Task Tracker'!H14</f>
        <v>46217</v>
      </c>
      <c r="F14" s="43" t="n">
        <f aca="false">'Task Tracker'!I14</f>
        <v>46248</v>
      </c>
    </row>
    <row r="15" customFormat="false" ht="15" hidden="false" customHeight="false" outlineLevel="0" collapsed="false">
      <c r="A15" s="40" t="n">
        <f aca="false">'Task Tracker'!A15</f>
        <v>1</v>
      </c>
      <c r="B15" s="41" t="str">
        <f aca="false">'Task Tracker'!B15</f>
        <v>Boiler System</v>
      </c>
      <c r="C15" s="41" t="str">
        <f aca="false">'Task Tracker'!E15</f>
        <v>Factory Acceptance Test</v>
      </c>
      <c r="D15" s="42" t="str">
        <f aca="false">'Task Tracker'!G15</f>
        <v>Not Started</v>
      </c>
      <c r="E15" s="43" t="n">
        <f aca="false">'Task Tracker'!H15</f>
        <v>46334</v>
      </c>
      <c r="F15" s="43" t="n">
        <f aca="false">'Task Tracker'!I15</f>
        <v>46344</v>
      </c>
    </row>
    <row r="16" customFormat="false" ht="15" hidden="false" customHeight="false" outlineLevel="0" collapsed="false">
      <c r="A16" s="40" t="n">
        <f aca="false">'Task Tracker'!A16</f>
        <v>1</v>
      </c>
      <c r="B16" s="41" t="str">
        <f aca="false">'Task Tracker'!B16</f>
        <v>Boiler System</v>
      </c>
      <c r="C16" s="41" t="str">
        <f aca="false">'Task Tracker'!E16</f>
        <v>Site Acceptance Test</v>
      </c>
      <c r="D16" s="42" t="str">
        <f aca="false">'Task Tracker'!G16</f>
        <v>Not Started</v>
      </c>
      <c r="E16" s="43" t="n">
        <f aca="false">'Task Tracker'!H16</f>
        <v>46344</v>
      </c>
      <c r="F16" s="43" t="n">
        <f aca="false">'Task Tracker'!I16</f>
        <v>46350</v>
      </c>
    </row>
    <row r="17" customFormat="false" ht="15" hidden="false" customHeight="false" outlineLevel="0" collapsed="false">
      <c r="A17" s="40" t="n">
        <f aca="false">'Task Tracker'!A17</f>
        <v>1</v>
      </c>
      <c r="B17" s="41" t="str">
        <f aca="false">'Task Tracker'!B17</f>
        <v>Boiler System</v>
      </c>
      <c r="C17" s="41" t="str">
        <f aca="false">'Task Tracker'!E17</f>
        <v>Performance Verification</v>
      </c>
      <c r="D17" s="42" t="str">
        <f aca="false">'Task Tracker'!G17</f>
        <v>Not Started</v>
      </c>
      <c r="E17" s="43" t="n">
        <f aca="false">'Task Tracker'!H17</f>
        <v>46344</v>
      </c>
      <c r="F17" s="43" t="n">
        <f aca="false">'Task Tracker'!I17</f>
        <v>46350</v>
      </c>
    </row>
    <row r="18" customFormat="false" ht="15" hidden="false" customHeight="false" outlineLevel="0" collapsed="false">
      <c r="A18" s="39" t="s">
        <v>174</v>
      </c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</row>
    <row r="19" customFormat="false" ht="15" hidden="false" customHeight="false" outlineLevel="0" collapsed="false">
      <c r="A19" s="40" t="n">
        <f aca="false">'Task Tracker'!A19</f>
        <v>2</v>
      </c>
      <c r="B19" s="41" t="str">
        <f aca="false">'Task Tracker'!B19</f>
        <v>Air Compressor System</v>
      </c>
      <c r="C19" s="41" t="str">
        <f aca="false">'Task Tracker'!E19</f>
        <v>Compressed Air Demand Audit</v>
      </c>
      <c r="D19" s="42" t="str">
        <f aca="false">'Task Tracker'!G19</f>
        <v>Complete</v>
      </c>
      <c r="E19" s="43" t="n">
        <f aca="false">'Task Tracker'!H19</f>
        <v>46133</v>
      </c>
      <c r="F19" s="43" t="n">
        <f aca="false">'Task Tracker'!I19</f>
        <v>46146</v>
      </c>
    </row>
    <row r="20" customFormat="false" ht="15" hidden="false" customHeight="false" outlineLevel="0" collapsed="false">
      <c r="A20" s="40" t="n">
        <f aca="false">'Task Tracker'!A20</f>
        <v>2</v>
      </c>
      <c r="B20" s="41" t="str">
        <f aca="false">'Task Tracker'!B20</f>
        <v>Air Compressor System</v>
      </c>
      <c r="C20" s="41" t="str">
        <f aca="false">'Task Tracker'!E20</f>
        <v>Piping Layout Approval</v>
      </c>
      <c r="D20" s="42" t="str">
        <f aca="false">'Task Tracker'!G20</f>
        <v>Complete</v>
      </c>
      <c r="E20" s="43" t="n">
        <f aca="false">'Task Tracker'!H20</f>
        <v>46140</v>
      </c>
      <c r="F20" s="43" t="n">
        <f aca="false">'Task Tracker'!I20</f>
        <v>46153</v>
      </c>
    </row>
    <row r="21" customFormat="false" ht="15" hidden="false" customHeight="false" outlineLevel="0" collapsed="false">
      <c r="A21" s="40" t="n">
        <f aca="false">'Task Tracker'!A21</f>
        <v>2</v>
      </c>
      <c r="B21" s="41" t="str">
        <f aca="false">'Task Tracker'!B21</f>
        <v>Air Compressor System</v>
      </c>
      <c r="C21" s="41" t="str">
        <f aca="false">'Task Tracker'!E21</f>
        <v>Vendor Finalization</v>
      </c>
      <c r="D21" s="42" t="str">
        <f aca="false">'Task Tracker'!G21</f>
        <v>In Progress</v>
      </c>
      <c r="E21" s="43" t="n">
        <f aca="false">'Task Tracker'!H21</f>
        <v>46153</v>
      </c>
      <c r="F21" s="43" t="n">
        <f aca="false">'Task Tracker'!I21</f>
        <v>46214</v>
      </c>
    </row>
    <row r="22" customFormat="false" ht="15" hidden="false" customHeight="false" outlineLevel="0" collapsed="false">
      <c r="A22" s="40" t="n">
        <f aca="false">'Task Tracker'!A22</f>
        <v>2</v>
      </c>
      <c r="B22" s="41" t="str">
        <f aca="false">'Task Tracker'!B22</f>
        <v>Air Compressor System</v>
      </c>
      <c r="C22" s="41" t="str">
        <f aca="false">'Task Tracker'!E22</f>
        <v>Purchase Order Issued</v>
      </c>
      <c r="D22" s="42" t="str">
        <f aca="false">'Task Tracker'!G22</f>
        <v>Not Started</v>
      </c>
      <c r="E22" s="43" t="n">
        <f aca="false">'Task Tracker'!H22</f>
        <v>46214</v>
      </c>
      <c r="F22" s="43" t="n">
        <f aca="false">'Task Tracker'!I22</f>
        <v>46221</v>
      </c>
    </row>
    <row r="23" customFormat="false" ht="15" hidden="false" customHeight="false" outlineLevel="0" collapsed="false">
      <c r="A23" s="40" t="n">
        <f aca="false">'Task Tracker'!A23</f>
        <v>2</v>
      </c>
      <c r="B23" s="41" t="str">
        <f aca="false">'Task Tracker'!B23</f>
        <v>Air Compressor System</v>
      </c>
      <c r="C23" s="41" t="str">
        <f aca="false">'Task Tracker'!E23</f>
        <v>Manufacturing &amp; QC</v>
      </c>
      <c r="D23" s="42" t="str">
        <f aca="false">'Task Tracker'!G23</f>
        <v>Not Started</v>
      </c>
      <c r="E23" s="43" t="n">
        <f aca="false">'Task Tracker'!H23</f>
        <v>46221</v>
      </c>
      <c r="F23" s="43" t="n">
        <f aca="false">'Task Tracker'!I23</f>
        <v>46252</v>
      </c>
    </row>
    <row r="24" customFormat="false" ht="15" hidden="false" customHeight="false" outlineLevel="0" collapsed="false">
      <c r="A24" s="40" t="n">
        <f aca="false">'Task Tracker'!A24</f>
        <v>2</v>
      </c>
      <c r="B24" s="41" t="str">
        <f aca="false">'Task Tracker'!B24</f>
        <v>Air Compressor System</v>
      </c>
      <c r="C24" s="41" t="str">
        <f aca="false">'Task Tracker'!E24</f>
        <v>Shipping</v>
      </c>
      <c r="D24" s="42" t="str">
        <f aca="false">'Task Tracker'!G24</f>
        <v>Not Started</v>
      </c>
      <c r="E24" s="43" t="n">
        <f aca="false">'Task Tracker'!H24</f>
        <v>46252</v>
      </c>
      <c r="F24" s="43" t="n">
        <f aca="false">'Task Tracker'!I24</f>
        <v>46283</v>
      </c>
    </row>
    <row r="25" customFormat="false" ht="15" hidden="false" customHeight="false" outlineLevel="0" collapsed="false">
      <c r="A25" s="40" t="n">
        <f aca="false">'Task Tracker'!A25</f>
        <v>2</v>
      </c>
      <c r="B25" s="41" t="str">
        <f aca="false">'Task Tracker'!B25</f>
        <v>Air Compressor System</v>
      </c>
      <c r="C25" s="41" t="str">
        <f aca="false">'Task Tracker'!E25</f>
        <v>Customs Clearance</v>
      </c>
      <c r="D25" s="42" t="str">
        <f aca="false">'Task Tracker'!G25</f>
        <v>Not Started</v>
      </c>
      <c r="E25" s="43" t="n">
        <f aca="false">'Task Tracker'!H25</f>
        <v>46283</v>
      </c>
      <c r="F25" s="43" t="n">
        <f aca="false">'Task Tracker'!I25</f>
        <v>46313</v>
      </c>
    </row>
    <row r="26" customFormat="false" ht="15" hidden="false" customHeight="false" outlineLevel="0" collapsed="false">
      <c r="A26" s="40" t="n">
        <f aca="false">'Task Tracker'!A26</f>
        <v>2</v>
      </c>
      <c r="B26" s="41" t="str">
        <f aca="false">'Task Tracker'!B26</f>
        <v>Air Compressor System</v>
      </c>
      <c r="C26" s="41" t="str">
        <f aca="false">'Task Tracker'!E26</f>
        <v>Site Delivery</v>
      </c>
      <c r="D26" s="42" t="str">
        <f aca="false">'Task Tracker'!G26</f>
        <v>Not Started</v>
      </c>
      <c r="E26" s="43" t="n">
        <f aca="false">'Task Tracker'!H26</f>
        <v>46313</v>
      </c>
      <c r="F26" s="43" t="n">
        <f aca="false">'Task Tracker'!I26</f>
        <v>46323</v>
      </c>
    </row>
    <row r="27" customFormat="false" ht="15" hidden="false" customHeight="false" outlineLevel="0" collapsed="false">
      <c r="A27" s="40" t="n">
        <f aca="false">'Task Tracker'!A27</f>
        <v>2</v>
      </c>
      <c r="B27" s="41" t="str">
        <f aca="false">'Task Tracker'!B27</f>
        <v>Air Compressor System</v>
      </c>
      <c r="C27" s="41" t="str">
        <f aca="false">'Task Tracker'!E27</f>
        <v>Compressor Room Preparation</v>
      </c>
      <c r="D27" s="42" t="str">
        <f aca="false">'Task Tracker'!G27</f>
        <v>Not Started</v>
      </c>
      <c r="E27" s="43" t="n">
        <f aca="false">'Task Tracker'!H27</f>
        <v>46191</v>
      </c>
      <c r="F27" s="43" t="n">
        <f aca="false">'Task Tracker'!I27</f>
        <v>46236</v>
      </c>
    </row>
    <row r="28" customFormat="false" ht="15" hidden="false" customHeight="false" outlineLevel="0" collapsed="false">
      <c r="A28" s="40" t="n">
        <f aca="false">'Task Tracker'!A28</f>
        <v>2</v>
      </c>
      <c r="B28" s="41" t="str">
        <f aca="false">'Task Tracker'!B28</f>
        <v>Air Compressor System</v>
      </c>
      <c r="C28" s="41" t="str">
        <f aca="false">'Task Tracker'!E28</f>
        <v>Equipment Installation</v>
      </c>
      <c r="D28" s="42" t="str">
        <f aca="false">'Task Tracker'!G28</f>
        <v>Not Started</v>
      </c>
      <c r="E28" s="43" t="n">
        <f aca="false">'Task Tracker'!H28</f>
        <v>46323</v>
      </c>
      <c r="F28" s="43" t="n">
        <f aca="false">'Task Tracker'!I28</f>
        <v>46334</v>
      </c>
    </row>
    <row r="29" customFormat="false" ht="15" hidden="false" customHeight="false" outlineLevel="0" collapsed="false">
      <c r="A29" s="40" t="n">
        <f aca="false">'Task Tracker'!A29</f>
        <v>2</v>
      </c>
      <c r="B29" s="41" t="str">
        <f aca="false">'Task Tracker'!B29</f>
        <v>Air Compressor System</v>
      </c>
      <c r="C29" s="41" t="str">
        <f aca="false">'Task Tracker'!E29</f>
        <v>Pipe Network Connection</v>
      </c>
      <c r="D29" s="42" t="str">
        <f aca="false">'Task Tracker'!G29</f>
        <v>Not Started</v>
      </c>
      <c r="E29" s="43" t="n">
        <f aca="false">'Task Tracker'!H29</f>
        <v>46217</v>
      </c>
      <c r="F29" s="43" t="n">
        <f aca="false">'Task Tracker'!I29</f>
        <v>46248</v>
      </c>
    </row>
    <row r="30" customFormat="false" ht="15" hidden="false" customHeight="false" outlineLevel="0" collapsed="false">
      <c r="A30" s="40" t="n">
        <f aca="false">'Task Tracker'!A30</f>
        <v>2</v>
      </c>
      <c r="B30" s="41" t="str">
        <f aca="false">'Task Tracker'!B30</f>
        <v>Air Compressor System</v>
      </c>
      <c r="C30" s="41" t="str">
        <f aca="false">'Task Tracker'!E30</f>
        <v>Pressure &amp; Leak Test</v>
      </c>
      <c r="D30" s="42" t="str">
        <f aca="false">'Task Tracker'!G30</f>
        <v>Not Started</v>
      </c>
      <c r="E30" s="43" t="n">
        <f aca="false">'Task Tracker'!H30</f>
        <v>46334</v>
      </c>
      <c r="F30" s="43" t="n">
        <f aca="false">'Task Tracker'!I30</f>
        <v>46344</v>
      </c>
    </row>
    <row r="31" customFormat="false" ht="15" hidden="false" customHeight="false" outlineLevel="0" collapsed="false">
      <c r="A31" s="40" t="n">
        <f aca="false">'Task Tracker'!A31</f>
        <v>2</v>
      </c>
      <c r="B31" s="41" t="str">
        <f aca="false">'Task Tracker'!B31</f>
        <v>Air Compressor System</v>
      </c>
      <c r="C31" s="41" t="str">
        <f aca="false">'Task Tracker'!E31</f>
        <v>Performance Verification</v>
      </c>
      <c r="D31" s="42" t="str">
        <f aca="false">'Task Tracker'!G31</f>
        <v>Not Started</v>
      </c>
      <c r="E31" s="43" t="n">
        <f aca="false">'Task Tracker'!H31</f>
        <v>46344</v>
      </c>
      <c r="F31" s="43" t="n">
        <f aca="false">'Task Tracker'!I31</f>
        <v>46350</v>
      </c>
    </row>
    <row r="32" customFormat="false" ht="15" hidden="false" customHeight="false" outlineLevel="0" collapsed="false">
      <c r="A32" s="39" t="s">
        <v>175</v>
      </c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</row>
    <row r="33" customFormat="false" ht="15" hidden="false" customHeight="false" outlineLevel="0" collapsed="false">
      <c r="A33" s="40" t="n">
        <f aca="false">'Task Tracker'!A33</f>
        <v>3</v>
      </c>
      <c r="B33" s="41" t="str">
        <f aca="false">'Task Tracker'!B33</f>
        <v>Water System</v>
      </c>
      <c r="C33" s="41" t="str">
        <f aca="false">'Task Tracker'!E33</f>
        <v>Water Balance Study</v>
      </c>
      <c r="D33" s="42" t="str">
        <f aca="false">'Task Tracker'!G33</f>
        <v>Complete</v>
      </c>
      <c r="E33" s="43" t="n">
        <f aca="false">'Task Tracker'!H33</f>
        <v>46140</v>
      </c>
      <c r="F33" s="43" t="n">
        <f aca="false">'Task Tracker'!I33</f>
        <v>46153</v>
      </c>
    </row>
    <row r="34" customFormat="false" ht="15" hidden="false" customHeight="false" outlineLevel="0" collapsed="false">
      <c r="A34" s="40" t="n">
        <f aca="false">'Task Tracker'!A34</f>
        <v>3</v>
      </c>
      <c r="B34" s="41" t="str">
        <f aca="false">'Task Tracker'!B34</f>
        <v>Water System</v>
      </c>
      <c r="C34" s="41" t="str">
        <f aca="false">'Task Tracker'!E34</f>
        <v>Plumbing Drawing Approval</v>
      </c>
      <c r="D34" s="42" t="str">
        <f aca="false">'Task Tracker'!G34</f>
        <v>Complete</v>
      </c>
      <c r="E34" s="43" t="n">
        <f aca="false">'Task Tracker'!H34</f>
        <v>46153</v>
      </c>
      <c r="F34" s="43" t="n">
        <f aca="false">'Task Tracker'!I34</f>
        <v>46214</v>
      </c>
    </row>
    <row r="35" customFormat="false" ht="15" hidden="false" customHeight="false" outlineLevel="0" collapsed="false">
      <c r="A35" s="40" t="n">
        <f aca="false">'Task Tracker'!A35</f>
        <v>3</v>
      </c>
      <c r="B35" s="41" t="str">
        <f aca="false">'Task Tracker'!B35</f>
        <v>Water System</v>
      </c>
      <c r="C35" s="41" t="str">
        <f aca="false">'Task Tracker'!E35</f>
        <v>Pump &amp; Tank Selection</v>
      </c>
      <c r="D35" s="42" t="str">
        <f aca="false">'Task Tracker'!G35</f>
        <v>In Progress</v>
      </c>
      <c r="E35" s="43" t="n">
        <f aca="false">'Task Tracker'!H35</f>
        <v>46214</v>
      </c>
      <c r="F35" s="43" t="n">
        <f aca="false">'Task Tracker'!I35</f>
        <v>46221</v>
      </c>
    </row>
    <row r="36" customFormat="false" ht="15" hidden="false" customHeight="false" outlineLevel="0" collapsed="false">
      <c r="A36" s="40" t="n">
        <f aca="false">'Task Tracker'!A36</f>
        <v>3</v>
      </c>
      <c r="B36" s="41" t="str">
        <f aca="false">'Task Tracker'!B36</f>
        <v>Water System</v>
      </c>
      <c r="C36" s="41" t="str">
        <f aca="false">'Task Tracker'!E36</f>
        <v>Purchase Order Issued</v>
      </c>
      <c r="D36" s="42" t="str">
        <f aca="false">'Task Tracker'!G36</f>
        <v>Not Started</v>
      </c>
      <c r="E36" s="43" t="n">
        <f aca="false">'Task Tracker'!H36</f>
        <v>46221</v>
      </c>
      <c r="F36" s="43" t="n">
        <f aca="false">'Task Tracker'!I36</f>
        <v>46252</v>
      </c>
    </row>
    <row r="37" customFormat="false" ht="15" hidden="false" customHeight="false" outlineLevel="0" collapsed="false">
      <c r="A37" s="40" t="n">
        <f aca="false">'Task Tracker'!A37</f>
        <v>3</v>
      </c>
      <c r="B37" s="41" t="str">
        <f aca="false">'Task Tracker'!B37</f>
        <v>Water System</v>
      </c>
      <c r="C37" s="41" t="str">
        <f aca="false">'Task Tracker'!E37</f>
        <v>Manufacturing / Supply</v>
      </c>
      <c r="D37" s="42" t="str">
        <f aca="false">'Task Tracker'!G37</f>
        <v>Not Started</v>
      </c>
      <c r="E37" s="43" t="n">
        <f aca="false">'Task Tracker'!H37</f>
        <v>46252</v>
      </c>
      <c r="F37" s="43" t="n">
        <f aca="false">'Task Tracker'!I37</f>
        <v>46283</v>
      </c>
    </row>
    <row r="38" customFormat="false" ht="15" hidden="false" customHeight="false" outlineLevel="0" collapsed="false">
      <c r="A38" s="40" t="n">
        <f aca="false">'Task Tracker'!A38</f>
        <v>3</v>
      </c>
      <c r="B38" s="41" t="str">
        <f aca="false">'Task Tracker'!B38</f>
        <v>Water System</v>
      </c>
      <c r="C38" s="41" t="str">
        <f aca="false">'Task Tracker'!E38</f>
        <v>Shipping</v>
      </c>
      <c r="D38" s="42" t="str">
        <f aca="false">'Task Tracker'!G38</f>
        <v>Not Started</v>
      </c>
      <c r="E38" s="43" t="n">
        <f aca="false">'Task Tracker'!H38</f>
        <v>46283</v>
      </c>
      <c r="F38" s="43" t="n">
        <f aca="false">'Task Tracker'!I38</f>
        <v>46313</v>
      </c>
    </row>
    <row r="39" customFormat="false" ht="15" hidden="false" customHeight="false" outlineLevel="0" collapsed="false">
      <c r="A39" s="40" t="n">
        <f aca="false">'Task Tracker'!A39</f>
        <v>3</v>
      </c>
      <c r="B39" s="41" t="str">
        <f aca="false">'Task Tracker'!B39</f>
        <v>Water System</v>
      </c>
      <c r="C39" s="41" t="str">
        <f aca="false">'Task Tracker'!E39</f>
        <v>Site Delivery</v>
      </c>
      <c r="D39" s="42" t="str">
        <f aca="false">'Task Tracker'!G39</f>
        <v>Not Started</v>
      </c>
      <c r="E39" s="43" t="n">
        <f aca="false">'Task Tracker'!H39</f>
        <v>46313</v>
      </c>
      <c r="F39" s="43" t="n">
        <f aca="false">'Task Tracker'!I39</f>
        <v>46323</v>
      </c>
    </row>
    <row r="40" customFormat="false" ht="15" hidden="false" customHeight="false" outlineLevel="0" collapsed="false">
      <c r="A40" s="40" t="n">
        <f aca="false">'Task Tracker'!A40</f>
        <v>3</v>
      </c>
      <c r="B40" s="41" t="str">
        <f aca="false">'Task Tracker'!B40</f>
        <v>Water System</v>
      </c>
      <c r="C40" s="41" t="str">
        <f aca="false">'Task Tracker'!E40</f>
        <v>Trenching &amp; Civil Works</v>
      </c>
      <c r="D40" s="42" t="str">
        <f aca="false">'Task Tracker'!G40</f>
        <v>Not Started</v>
      </c>
      <c r="E40" s="43" t="n">
        <f aca="false">'Task Tracker'!H40</f>
        <v>46191</v>
      </c>
      <c r="F40" s="43" t="n">
        <f aca="false">'Task Tracker'!I40</f>
        <v>46236</v>
      </c>
    </row>
    <row r="41" customFormat="false" ht="15" hidden="false" customHeight="false" outlineLevel="0" collapsed="false">
      <c r="A41" s="40" t="n">
        <f aca="false">'Task Tracker'!A41</f>
        <v>3</v>
      </c>
      <c r="B41" s="41" t="str">
        <f aca="false">'Task Tracker'!B41</f>
        <v>Water System</v>
      </c>
      <c r="C41" s="41" t="str">
        <f aca="false">'Task Tracker'!E41</f>
        <v>Pump &amp; Tank Installation</v>
      </c>
      <c r="D41" s="42" t="str">
        <f aca="false">'Task Tracker'!G41</f>
        <v>Not Started</v>
      </c>
      <c r="E41" s="43" t="n">
        <f aca="false">'Task Tracker'!H41</f>
        <v>46323</v>
      </c>
      <c r="F41" s="43" t="n">
        <f aca="false">'Task Tracker'!I41</f>
        <v>46334</v>
      </c>
    </row>
    <row r="42" customFormat="false" ht="15" hidden="false" customHeight="false" outlineLevel="0" collapsed="false">
      <c r="A42" s="40" t="n">
        <f aca="false">'Task Tracker'!A42</f>
        <v>3</v>
      </c>
      <c r="B42" s="41" t="str">
        <f aca="false">'Task Tracker'!B42</f>
        <v>Water System</v>
      </c>
      <c r="C42" s="41" t="str">
        <f aca="false">'Task Tracker'!E42</f>
        <v>Pipe Network Installation</v>
      </c>
      <c r="D42" s="42" t="str">
        <f aca="false">'Task Tracker'!G42</f>
        <v>Not Started</v>
      </c>
      <c r="E42" s="43" t="n">
        <f aca="false">'Task Tracker'!H42</f>
        <v>46217</v>
      </c>
      <c r="F42" s="43" t="n">
        <f aca="false">'Task Tracker'!I42</f>
        <v>46248</v>
      </c>
    </row>
    <row r="43" customFormat="false" ht="15" hidden="false" customHeight="false" outlineLevel="0" collapsed="false">
      <c r="A43" s="40" t="n">
        <f aca="false">'Task Tracker'!A43</f>
        <v>3</v>
      </c>
      <c r="B43" s="41" t="str">
        <f aca="false">'Task Tracker'!B43</f>
        <v>Water System</v>
      </c>
      <c r="C43" s="41" t="str">
        <f aca="false">'Task Tracker'!E43</f>
        <v>Hydraulic Pressure Test</v>
      </c>
      <c r="D43" s="42" t="str">
        <f aca="false">'Task Tracker'!G43</f>
        <v>Not Started</v>
      </c>
      <c r="E43" s="43" t="n">
        <f aca="false">'Task Tracker'!H43</f>
        <v>46334</v>
      </c>
      <c r="F43" s="43" t="n">
        <f aca="false">'Task Tracker'!I43</f>
        <v>46344</v>
      </c>
    </row>
    <row r="44" customFormat="false" ht="15" hidden="false" customHeight="false" outlineLevel="0" collapsed="false">
      <c r="A44" s="40" t="n">
        <f aca="false">'Task Tracker'!A44</f>
        <v>3</v>
      </c>
      <c r="B44" s="41" t="str">
        <f aca="false">'Task Tracker'!B44</f>
        <v>Water System</v>
      </c>
      <c r="C44" s="41" t="str">
        <f aca="false">'Task Tracker'!E44</f>
        <v>Flow Rate Verification</v>
      </c>
      <c r="D44" s="42" t="str">
        <f aca="false">'Task Tracker'!G44</f>
        <v>Not Started</v>
      </c>
      <c r="E44" s="43" t="n">
        <f aca="false">'Task Tracker'!H44</f>
        <v>46344</v>
      </c>
      <c r="F44" s="43" t="n">
        <f aca="false">'Task Tracker'!I44</f>
        <v>46350</v>
      </c>
    </row>
    <row r="45" customFormat="false" ht="15" hidden="false" customHeight="false" outlineLevel="0" collapsed="false">
      <c r="A45" s="39" t="s">
        <v>176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</row>
    <row r="46" customFormat="false" ht="15" hidden="false" customHeight="false" outlineLevel="0" collapsed="false">
      <c r="A46" s="40" t="n">
        <f aca="false">'Task Tracker'!A46</f>
        <v>4</v>
      </c>
      <c r="B46" s="41" t="str">
        <f aca="false">'Task Tracker'!B46</f>
        <v>Weighbridge</v>
      </c>
      <c r="C46" s="41" t="str">
        <f aca="false">'Task Tracker'!E46</f>
        <v>Foundation Design</v>
      </c>
      <c r="D46" s="42" t="str">
        <f aca="false">'Task Tracker'!G46</f>
        <v>Complete</v>
      </c>
      <c r="E46" s="43" t="n">
        <f aca="false">'Task Tracker'!H46</f>
        <v>46214</v>
      </c>
      <c r="F46" s="43" t="n">
        <f aca="false">'Task Tracker'!I46</f>
        <v>46221</v>
      </c>
    </row>
    <row r="47" customFormat="false" ht="15" hidden="false" customHeight="false" outlineLevel="0" collapsed="false">
      <c r="A47" s="40" t="n">
        <f aca="false">'Task Tracker'!A47</f>
        <v>4</v>
      </c>
      <c r="B47" s="41" t="str">
        <f aca="false">'Task Tracker'!B47</f>
        <v>Weighbridge</v>
      </c>
      <c r="C47" s="41" t="str">
        <f aca="false">'Task Tracker'!E47</f>
        <v>Supplier Selection</v>
      </c>
      <c r="D47" s="42" t="str">
        <f aca="false">'Task Tracker'!G47</f>
        <v>Complete</v>
      </c>
      <c r="E47" s="43" t="n">
        <f aca="false">'Task Tracker'!H47</f>
        <v>46221</v>
      </c>
      <c r="F47" s="43" t="n">
        <f aca="false">'Task Tracker'!I47</f>
        <v>46252</v>
      </c>
    </row>
    <row r="48" customFormat="false" ht="15" hidden="false" customHeight="false" outlineLevel="0" collapsed="false">
      <c r="A48" s="40" t="n">
        <f aca="false">'Task Tracker'!A48</f>
        <v>4</v>
      </c>
      <c r="B48" s="41" t="str">
        <f aca="false">'Task Tracker'!B48</f>
        <v>Weighbridge</v>
      </c>
      <c r="C48" s="41" t="str">
        <f aca="false">'Task Tracker'!E48</f>
        <v>Purchase Order Issued</v>
      </c>
      <c r="D48" s="42" t="str">
        <f aca="false">'Task Tracker'!G48</f>
        <v>In Progress</v>
      </c>
      <c r="E48" s="43" t="n">
        <f aca="false">'Task Tracker'!H48</f>
        <v>46252</v>
      </c>
      <c r="F48" s="43" t="n">
        <f aca="false">'Task Tracker'!I48</f>
        <v>46283</v>
      </c>
    </row>
    <row r="49" customFormat="false" ht="15" hidden="false" customHeight="false" outlineLevel="0" collapsed="false">
      <c r="A49" s="40" t="n">
        <f aca="false">'Task Tracker'!A49</f>
        <v>4</v>
      </c>
      <c r="B49" s="41" t="str">
        <f aca="false">'Task Tracker'!B49</f>
        <v>Weighbridge</v>
      </c>
      <c r="C49" s="41" t="str">
        <f aca="false">'Task Tracker'!E49</f>
        <v>Manufacturing</v>
      </c>
      <c r="D49" s="42" t="str">
        <f aca="false">'Task Tracker'!G49</f>
        <v>Not Started</v>
      </c>
      <c r="E49" s="43" t="n">
        <f aca="false">'Task Tracker'!H49</f>
        <v>46283</v>
      </c>
      <c r="F49" s="43" t="n">
        <f aca="false">'Task Tracker'!I49</f>
        <v>46313</v>
      </c>
    </row>
    <row r="50" customFormat="false" ht="15" hidden="false" customHeight="false" outlineLevel="0" collapsed="false">
      <c r="A50" s="40" t="n">
        <f aca="false">'Task Tracker'!A50</f>
        <v>4</v>
      </c>
      <c r="B50" s="41" t="str">
        <f aca="false">'Task Tracker'!B50</f>
        <v>Weighbridge</v>
      </c>
      <c r="C50" s="41" t="str">
        <f aca="false">'Task Tracker'!E50</f>
        <v>Transport to Site</v>
      </c>
      <c r="D50" s="42" t="str">
        <f aca="false">'Task Tracker'!G50</f>
        <v>Not Started</v>
      </c>
      <c r="E50" s="43" t="n">
        <f aca="false">'Task Tracker'!H50</f>
        <v>46313</v>
      </c>
      <c r="F50" s="43" t="n">
        <f aca="false">'Task Tracker'!I50</f>
        <v>46323</v>
      </c>
    </row>
    <row r="51" customFormat="false" ht="15" hidden="false" customHeight="false" outlineLevel="0" collapsed="false">
      <c r="A51" s="40" t="n">
        <f aca="false">'Task Tracker'!A51</f>
        <v>4</v>
      </c>
      <c r="B51" s="41" t="str">
        <f aca="false">'Task Tracker'!B51</f>
        <v>Weighbridge</v>
      </c>
      <c r="C51" s="41" t="str">
        <f aca="false">'Task Tracker'!E51</f>
        <v>Foundation Construction</v>
      </c>
      <c r="D51" s="42" t="str">
        <f aca="false">'Task Tracker'!G51</f>
        <v>Not Started</v>
      </c>
      <c r="E51" s="43" t="n">
        <f aca="false">'Task Tracker'!H51</f>
        <v>46191</v>
      </c>
      <c r="F51" s="43" t="n">
        <f aca="false">'Task Tracker'!I51</f>
        <v>46236</v>
      </c>
    </row>
    <row r="52" customFormat="false" ht="15" hidden="false" customHeight="false" outlineLevel="0" collapsed="false">
      <c r="A52" s="40" t="n">
        <f aca="false">'Task Tracker'!A52</f>
        <v>4</v>
      </c>
      <c r="B52" s="41" t="str">
        <f aca="false">'Task Tracker'!B52</f>
        <v>Weighbridge</v>
      </c>
      <c r="C52" s="41" t="str">
        <f aca="false">'Task Tracker'!E52</f>
        <v>Weighbridge Installation</v>
      </c>
      <c r="D52" s="42" t="str">
        <f aca="false">'Task Tracker'!G52</f>
        <v>Not Started</v>
      </c>
      <c r="E52" s="43" t="n">
        <f aca="false">'Task Tracker'!H52</f>
        <v>46323</v>
      </c>
      <c r="F52" s="43" t="n">
        <f aca="false">'Task Tracker'!I52</f>
        <v>46334</v>
      </c>
    </row>
    <row r="53" customFormat="false" ht="15" hidden="false" customHeight="false" outlineLevel="0" collapsed="false">
      <c r="A53" s="40" t="n">
        <f aca="false">'Task Tracker'!A53</f>
        <v>4</v>
      </c>
      <c r="B53" s="41" t="str">
        <f aca="false">'Task Tracker'!B53</f>
        <v>Weighbridge</v>
      </c>
      <c r="C53" s="41" t="str">
        <f aca="false">'Task Tracker'!E53</f>
        <v>Electrical &amp; Data Wiring</v>
      </c>
      <c r="D53" s="42" t="str">
        <f aca="false">'Task Tracker'!G53</f>
        <v>Not Started</v>
      </c>
      <c r="E53" s="43" t="n">
        <f aca="false">'Task Tracker'!H53</f>
        <v>46217</v>
      </c>
      <c r="F53" s="43" t="n">
        <f aca="false">'Task Tracker'!I53</f>
        <v>46248</v>
      </c>
    </row>
    <row r="54" customFormat="false" ht="15" hidden="false" customHeight="false" outlineLevel="0" collapsed="false">
      <c r="A54" s="40" t="n">
        <f aca="false">'Task Tracker'!A54</f>
        <v>4</v>
      </c>
      <c r="B54" s="41" t="str">
        <f aca="false">'Task Tracker'!B54</f>
        <v>Weighbridge</v>
      </c>
      <c r="C54" s="41" t="str">
        <f aca="false">'Task Tracker'!E54</f>
        <v>Calibration &amp; Certification</v>
      </c>
      <c r="D54" s="42" t="str">
        <f aca="false">'Task Tracker'!G54</f>
        <v>Not Started</v>
      </c>
      <c r="E54" s="43" t="n">
        <f aca="false">'Task Tracker'!H54</f>
        <v>46334</v>
      </c>
      <c r="F54" s="43" t="n">
        <f aca="false">'Task Tracker'!I54</f>
        <v>46344</v>
      </c>
    </row>
    <row r="55" customFormat="false" ht="15" hidden="false" customHeight="false" outlineLevel="0" collapsed="false">
      <c r="A55" s="40" t="n">
        <f aca="false">'Task Tracker'!A55</f>
        <v>4</v>
      </c>
      <c r="B55" s="41" t="str">
        <f aca="false">'Task Tracker'!B55</f>
        <v>Weighbridge</v>
      </c>
      <c r="C55" s="41" t="str">
        <f aca="false">'Task Tracker'!E55</f>
        <v>Operational Test</v>
      </c>
      <c r="D55" s="42" t="str">
        <f aca="false">'Task Tracker'!G55</f>
        <v>Not Started</v>
      </c>
      <c r="E55" s="43" t="n">
        <f aca="false">'Task Tracker'!H55</f>
        <v>46344</v>
      </c>
      <c r="F55" s="43" t="n">
        <f aca="false">'Task Tracker'!I55</f>
        <v>46350</v>
      </c>
    </row>
    <row r="56" customFormat="false" ht="15" hidden="false" customHeight="false" outlineLevel="0" collapsed="false">
      <c r="A56" s="39" t="s">
        <v>177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39"/>
      <c r="AK56" s="39"/>
      <c r="AL56" s="39"/>
    </row>
    <row r="57" customFormat="false" ht="15" hidden="false" customHeight="false" outlineLevel="0" collapsed="false">
      <c r="A57" s="40" t="n">
        <f aca="false">'Task Tracker'!A57</f>
        <v>5</v>
      </c>
      <c r="B57" s="41" t="str">
        <f aca="false">'Task Tracker'!B57</f>
        <v>Big Storage Oil Tank</v>
      </c>
      <c r="C57" s="41" t="str">
        <f aca="false">'Task Tracker'!E57</f>
        <v>Tank Specs Review (Annex D)</v>
      </c>
      <c r="D57" s="42" t="str">
        <f aca="false">'Task Tracker'!G57</f>
        <v>In Progress</v>
      </c>
      <c r="E57" s="43" t="n">
        <f aca="false">'Task Tracker'!H57</f>
        <v>46133</v>
      </c>
      <c r="F57" s="43" t="n">
        <f aca="false">'Task Tracker'!I57</f>
        <v>46139</v>
      </c>
    </row>
    <row r="58" customFormat="false" ht="15" hidden="false" customHeight="false" outlineLevel="0" collapsed="false">
      <c r="A58" s="40" t="n">
        <f aca="false">'Task Tracker'!A58</f>
        <v>5</v>
      </c>
      <c r="B58" s="41" t="str">
        <f aca="false">'Task Tracker'!B58</f>
        <v>Big Storage Oil Tank</v>
      </c>
      <c r="C58" s="41" t="str">
        <f aca="false">'Task Tracker'!E58</f>
        <v>Civil Foundation Design</v>
      </c>
      <c r="D58" s="42" t="str">
        <f aca="false">'Task Tracker'!G58</f>
        <v>Not Started</v>
      </c>
      <c r="E58" s="43" t="n">
        <f aca="false">'Task Tracker'!H58</f>
        <v>46140</v>
      </c>
      <c r="F58" s="43" t="n">
        <f aca="false">'Task Tracker'!I58</f>
        <v>46153</v>
      </c>
    </row>
    <row r="59" customFormat="false" ht="15" hidden="false" customHeight="false" outlineLevel="0" collapsed="false">
      <c r="A59" s="40" t="n">
        <f aca="false">'Task Tracker'!A59</f>
        <v>5</v>
      </c>
      <c r="B59" s="41" t="str">
        <f aca="false">'Task Tracker'!B59</f>
        <v>Big Storage Oil Tank</v>
      </c>
      <c r="C59" s="41" t="str">
        <f aca="false">'Task Tracker'!E59</f>
        <v>Vendor Finalization</v>
      </c>
      <c r="D59" s="42" t="str">
        <f aca="false">'Task Tracker'!G59</f>
        <v>Not Started</v>
      </c>
      <c r="E59" s="43" t="n">
        <f aca="false">'Task Tracker'!H59</f>
        <v>46140</v>
      </c>
      <c r="F59" s="43" t="n">
        <f aca="false">'Task Tracker'!I59</f>
        <v>46153</v>
      </c>
    </row>
    <row r="60" customFormat="false" ht="15" hidden="false" customHeight="false" outlineLevel="0" collapsed="false">
      <c r="A60" s="40" t="n">
        <f aca="false">'Task Tracker'!A60</f>
        <v>5</v>
      </c>
      <c r="B60" s="41" t="str">
        <f aca="false">'Task Tracker'!B60</f>
        <v>Big Storage Oil Tank</v>
      </c>
      <c r="C60" s="41" t="str">
        <f aca="false">'Task Tracker'!E60</f>
        <v>Purchase Order Issued</v>
      </c>
      <c r="D60" s="42" t="str">
        <f aca="false">'Task Tracker'!G60</f>
        <v>Not Started</v>
      </c>
      <c r="E60" s="43" t="n">
        <f aca="false">'Task Tracker'!H60</f>
        <v>46154</v>
      </c>
      <c r="F60" s="43" t="n">
        <f aca="false">'Task Tracker'!I60</f>
        <v>46160</v>
      </c>
    </row>
    <row r="61" customFormat="false" ht="15" hidden="false" customHeight="false" outlineLevel="0" collapsed="false">
      <c r="A61" s="40" t="n">
        <f aca="false">'Task Tracker'!A61</f>
        <v>5</v>
      </c>
      <c r="B61" s="41" t="str">
        <f aca="false">'Task Tracker'!B61</f>
        <v>Big Storage Oil Tank</v>
      </c>
      <c r="C61" s="41" t="str">
        <f aca="false">'Task Tracker'!E61</f>
        <v>Tank Fabrication</v>
      </c>
      <c r="D61" s="42" t="str">
        <f aca="false">'Task Tracker'!G61</f>
        <v>Not Started</v>
      </c>
      <c r="E61" s="43" t="n">
        <f aca="false">'Task Tracker'!H61</f>
        <v>46161</v>
      </c>
      <c r="F61" s="43" t="n">
        <f aca="false">'Task Tracker'!I61</f>
        <v>46216</v>
      </c>
    </row>
    <row r="62" customFormat="false" ht="15" hidden="false" customHeight="false" outlineLevel="0" collapsed="false">
      <c r="A62" s="40" t="n">
        <f aca="false">'Task Tracker'!A62</f>
        <v>5</v>
      </c>
      <c r="B62" s="41" t="str">
        <f aca="false">'Task Tracker'!B62</f>
        <v>Big Storage Oil Tank</v>
      </c>
      <c r="C62" s="41" t="str">
        <f aca="false">'Task Tracker'!E62</f>
        <v>Oversized Transport Permit</v>
      </c>
      <c r="D62" s="42" t="str">
        <f aca="false">'Task Tracker'!G62</f>
        <v>Not Started</v>
      </c>
      <c r="E62" s="43" t="n">
        <f aca="false">'Task Tracker'!H62</f>
        <v>46210</v>
      </c>
      <c r="F62" s="43" t="n">
        <f aca="false">'Task Tracker'!I62</f>
        <v>46216</v>
      </c>
    </row>
    <row r="63" customFormat="false" ht="15" hidden="false" customHeight="false" outlineLevel="0" collapsed="false">
      <c r="A63" s="40" t="n">
        <f aca="false">'Task Tracker'!A63</f>
        <v>5</v>
      </c>
      <c r="B63" s="41" t="str">
        <f aca="false">'Task Tracker'!B63</f>
        <v>Big Storage Oil Tank</v>
      </c>
      <c r="C63" s="41" t="str">
        <f aca="false">'Task Tracker'!E63</f>
        <v>Site Delivery</v>
      </c>
      <c r="D63" s="42" t="str">
        <f aca="false">'Task Tracker'!G63</f>
        <v>Not Started</v>
      </c>
      <c r="E63" s="43" t="n">
        <f aca="false">'Task Tracker'!H63</f>
        <v>46217</v>
      </c>
      <c r="F63" s="43" t="n">
        <f aca="false">'Task Tracker'!I63</f>
        <v>46223</v>
      </c>
    </row>
    <row r="64" customFormat="false" ht="15" hidden="false" customHeight="false" outlineLevel="0" collapsed="false">
      <c r="A64" s="40" t="n">
        <f aca="false">'Task Tracker'!A64</f>
        <v>5</v>
      </c>
      <c r="B64" s="41" t="str">
        <f aca="false">'Task Tracker'!B64</f>
        <v>Big Storage Oil Tank</v>
      </c>
      <c r="C64" s="41" t="str">
        <f aca="false">'Task Tracker'!E64</f>
        <v>Civil Bund &amp; Foundation</v>
      </c>
      <c r="D64" s="42" t="str">
        <f aca="false">'Task Tracker'!G64</f>
        <v>Not Started</v>
      </c>
      <c r="E64" s="43" t="n">
        <f aca="false">'Task Tracker'!H64</f>
        <v>46175</v>
      </c>
      <c r="F64" s="43" t="n">
        <f aca="false">'Task Tracker'!I64</f>
        <v>46209</v>
      </c>
    </row>
    <row r="65" customFormat="false" ht="15" hidden="false" customHeight="false" outlineLevel="0" collapsed="false">
      <c r="A65" s="40" t="n">
        <f aca="false">'Task Tracker'!A65</f>
        <v>5</v>
      </c>
      <c r="B65" s="41" t="str">
        <f aca="false">'Task Tracker'!B65</f>
        <v>Big Storage Oil Tank</v>
      </c>
      <c r="C65" s="41" t="str">
        <f aca="false">'Task Tracker'!E65</f>
        <v>Tank Erection &amp; Anchoring</v>
      </c>
      <c r="D65" s="42" t="str">
        <f aca="false">'Task Tracker'!G65</f>
        <v>Not Started</v>
      </c>
      <c r="E65" s="43" t="n">
        <f aca="false">'Task Tracker'!H65</f>
        <v>46217</v>
      </c>
      <c r="F65" s="43" t="n">
        <f aca="false">'Task Tracker'!I65</f>
        <v>46230</v>
      </c>
    </row>
    <row r="66" customFormat="false" ht="15" hidden="false" customHeight="false" outlineLevel="0" collapsed="false">
      <c r="A66" s="40" t="n">
        <f aca="false">'Task Tracker'!A66</f>
        <v>5</v>
      </c>
      <c r="B66" s="41" t="str">
        <f aca="false">'Task Tracker'!B66</f>
        <v>Big Storage Oil Tank</v>
      </c>
      <c r="C66" s="41" t="str">
        <f aca="false">'Task Tracker'!E66</f>
        <v>Pipework &amp; Valves</v>
      </c>
      <c r="D66" s="42" t="str">
        <f aca="false">'Task Tracker'!G66</f>
        <v>Not Started</v>
      </c>
      <c r="E66" s="43" t="n">
        <f aca="false">'Task Tracker'!H66</f>
        <v>46231</v>
      </c>
      <c r="F66" s="43" t="n">
        <f aca="false">'Task Tracker'!I66</f>
        <v>46244</v>
      </c>
    </row>
    <row r="67" customFormat="false" ht="15" hidden="false" customHeight="false" outlineLevel="0" collapsed="false">
      <c r="A67" s="40" t="n">
        <f aca="false">'Task Tracker'!A67</f>
        <v>5</v>
      </c>
      <c r="B67" s="41" t="str">
        <f aca="false">'Task Tracker'!B67</f>
        <v>Big Storage Oil Tank</v>
      </c>
      <c r="C67" s="41" t="str">
        <f aca="false">'Task Tracker'!E67</f>
        <v>Hydrostatic Test</v>
      </c>
      <c r="D67" s="42" t="str">
        <f aca="false">'Task Tracker'!G67</f>
        <v>Not Started</v>
      </c>
      <c r="E67" s="43" t="n">
        <f aca="false">'Task Tracker'!H67</f>
        <v>46245</v>
      </c>
      <c r="F67" s="43" t="n">
        <f aca="false">'Task Tracker'!I67</f>
        <v>46251</v>
      </c>
    </row>
    <row r="68" customFormat="false" ht="15" hidden="false" customHeight="false" outlineLevel="0" collapsed="false">
      <c r="A68" s="40" t="n">
        <f aca="false">'Task Tracker'!A68</f>
        <v>5</v>
      </c>
      <c r="B68" s="41" t="str">
        <f aca="false">'Task Tracker'!B68</f>
        <v>Big Storage Oil Tank</v>
      </c>
      <c r="C68" s="41" t="str">
        <f aca="false">'Task Tracker'!E68</f>
        <v>Regulatory Inspection</v>
      </c>
      <c r="D68" s="42" t="str">
        <f aca="false">'Task Tracker'!G68</f>
        <v>Not Started</v>
      </c>
      <c r="E68" s="43" t="n">
        <f aca="false">'Task Tracker'!H68</f>
        <v>46252</v>
      </c>
      <c r="F68" s="43" t="n">
        <f aca="false">'Task Tracker'!I68</f>
        <v>46258</v>
      </c>
    </row>
    <row r="69" customFormat="false" ht="15" hidden="false" customHeight="false" outlineLevel="0" collapsed="false">
      <c r="A69" s="39" t="s">
        <v>178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</row>
    <row r="70" customFormat="false" ht="15" hidden="false" customHeight="false" outlineLevel="0" collapsed="false">
      <c r="A70" s="40" t="n">
        <f aca="false">'Task Tracker'!A70</f>
        <v>6</v>
      </c>
      <c r="B70" s="41" t="str">
        <f aca="false">'Task Tracker'!B70</f>
        <v>Elevator</v>
      </c>
      <c r="C70" s="41" t="str">
        <f aca="false">'Task Tracker'!E70</f>
        <v>Structural Drawing Review</v>
      </c>
      <c r="D70" s="42" t="str">
        <f aca="false">'Task Tracker'!G70</f>
        <v>Complete</v>
      </c>
      <c r="E70" s="43" t="n">
        <f aca="false">'Task Tracker'!H70</f>
        <v>46133</v>
      </c>
      <c r="F70" s="43" t="n">
        <f aca="false">'Task Tracker'!I70</f>
        <v>46146</v>
      </c>
    </row>
    <row r="71" customFormat="false" ht="15" hidden="false" customHeight="false" outlineLevel="0" collapsed="false">
      <c r="A71" s="40" t="n">
        <f aca="false">'Task Tracker'!A71</f>
        <v>6</v>
      </c>
      <c r="B71" s="41" t="str">
        <f aca="false">'Task Tracker'!B71</f>
        <v>Elevator</v>
      </c>
      <c r="C71" s="41" t="str">
        <f aca="false">'Task Tracker'!E71</f>
        <v>Drawing Mod Feedback to PFF</v>
      </c>
      <c r="D71" s="42" t="str">
        <f aca="false">'Task Tracker'!G71</f>
        <v>Complete</v>
      </c>
      <c r="E71" s="43" t="n">
        <f aca="false">'Task Tracker'!H71</f>
        <v>46140</v>
      </c>
      <c r="F71" s="43" t="n">
        <f aca="false">'Task Tracker'!I71</f>
        <v>46153</v>
      </c>
    </row>
    <row r="72" customFormat="false" ht="15" hidden="false" customHeight="false" outlineLevel="0" collapsed="false">
      <c r="A72" s="40" t="n">
        <f aca="false">'Task Tracker'!A72</f>
        <v>6</v>
      </c>
      <c r="B72" s="41" t="str">
        <f aca="false">'Task Tracker'!B72</f>
        <v>Elevator</v>
      </c>
      <c r="C72" s="41" t="str">
        <f aca="false">'Task Tracker'!E72</f>
        <v>Vendor/Supplier Finalization</v>
      </c>
      <c r="D72" s="42" t="str">
        <f aca="false">'Task Tracker'!G72</f>
        <v>In Progress</v>
      </c>
      <c r="E72" s="43" t="n">
        <f aca="false">'Task Tracker'!H72</f>
        <v>46153</v>
      </c>
      <c r="F72" s="43" t="n">
        <f aca="false">'Task Tracker'!I72</f>
        <v>46214</v>
      </c>
    </row>
    <row r="73" customFormat="false" ht="15" hidden="false" customHeight="false" outlineLevel="0" collapsed="false">
      <c r="A73" s="40" t="n">
        <f aca="false">'Task Tracker'!A73</f>
        <v>6</v>
      </c>
      <c r="B73" s="41" t="str">
        <f aca="false">'Task Tracker'!B73</f>
        <v>Elevator</v>
      </c>
      <c r="C73" s="41" t="str">
        <f aca="false">'Task Tracker'!E73</f>
        <v>Purchase Order Issued</v>
      </c>
      <c r="D73" s="42" t="str">
        <f aca="false">'Task Tracker'!G73</f>
        <v>Not Started</v>
      </c>
      <c r="E73" s="43" t="n">
        <f aca="false">'Task Tracker'!H73</f>
        <v>46214</v>
      </c>
      <c r="F73" s="43" t="n">
        <f aca="false">'Task Tracker'!I73</f>
        <v>46221</v>
      </c>
    </row>
    <row r="74" customFormat="false" ht="15" hidden="false" customHeight="false" outlineLevel="0" collapsed="false">
      <c r="A74" s="40" t="n">
        <f aca="false">'Task Tracker'!A74</f>
        <v>6</v>
      </c>
      <c r="B74" s="41" t="str">
        <f aca="false">'Task Tracker'!B74</f>
        <v>Elevator</v>
      </c>
      <c r="C74" s="41" t="str">
        <f aca="false">'Task Tracker'!E74</f>
        <v>Manufacturing</v>
      </c>
      <c r="D74" s="42" t="str">
        <f aca="false">'Task Tracker'!G74</f>
        <v>Not Started</v>
      </c>
      <c r="E74" s="43" t="n">
        <f aca="false">'Task Tracker'!H74</f>
        <v>46221</v>
      </c>
      <c r="F74" s="43" t="n">
        <f aca="false">'Task Tracker'!I74</f>
        <v>46252</v>
      </c>
    </row>
    <row r="75" customFormat="false" ht="15" hidden="false" customHeight="false" outlineLevel="0" collapsed="false">
      <c r="A75" s="40" t="n">
        <f aca="false">'Task Tracker'!A75</f>
        <v>6</v>
      </c>
      <c r="B75" s="41" t="str">
        <f aca="false">'Task Tracker'!B75</f>
        <v>Elevator</v>
      </c>
      <c r="C75" s="41" t="str">
        <f aca="false">'Task Tracker'!E75</f>
        <v>Shipping</v>
      </c>
      <c r="D75" s="42" t="str">
        <f aca="false">'Task Tracker'!G75</f>
        <v>Not Started</v>
      </c>
      <c r="E75" s="43" t="n">
        <f aca="false">'Task Tracker'!H75</f>
        <v>46252</v>
      </c>
      <c r="F75" s="43" t="n">
        <f aca="false">'Task Tracker'!I75</f>
        <v>46283</v>
      </c>
    </row>
    <row r="76" customFormat="false" ht="15" hidden="false" customHeight="false" outlineLevel="0" collapsed="false">
      <c r="A76" s="40" t="n">
        <f aca="false">'Task Tracker'!A76</f>
        <v>6</v>
      </c>
      <c r="B76" s="41" t="str">
        <f aca="false">'Task Tracker'!B76</f>
        <v>Elevator</v>
      </c>
      <c r="C76" s="41" t="str">
        <f aca="false">'Task Tracker'!E76</f>
        <v>Customs Clearance</v>
      </c>
      <c r="D76" s="42" t="str">
        <f aca="false">'Task Tracker'!G76</f>
        <v>Not Started</v>
      </c>
      <c r="E76" s="43" t="n">
        <f aca="false">'Task Tracker'!H76</f>
        <v>46283</v>
      </c>
      <c r="F76" s="43" t="n">
        <f aca="false">'Task Tracker'!I76</f>
        <v>46313</v>
      </c>
    </row>
    <row r="77" customFormat="false" ht="15" hidden="false" customHeight="false" outlineLevel="0" collapsed="false">
      <c r="A77" s="40" t="n">
        <f aca="false">'Task Tracker'!A77</f>
        <v>6</v>
      </c>
      <c r="B77" s="41" t="str">
        <f aca="false">'Task Tracker'!B77</f>
        <v>Elevator</v>
      </c>
      <c r="C77" s="41" t="str">
        <f aca="false">'Task Tracker'!E77</f>
        <v>Site Delivery</v>
      </c>
      <c r="D77" s="42" t="str">
        <f aca="false">'Task Tracker'!G77</f>
        <v>Not Started</v>
      </c>
      <c r="E77" s="43" t="n">
        <f aca="false">'Task Tracker'!H77</f>
        <v>46313</v>
      </c>
      <c r="F77" s="43" t="n">
        <f aca="false">'Task Tracker'!I77</f>
        <v>46323</v>
      </c>
    </row>
    <row r="78" customFormat="false" ht="15" hidden="false" customHeight="false" outlineLevel="0" collapsed="false">
      <c r="A78" s="40" t="n">
        <f aca="false">'Task Tracker'!A78</f>
        <v>6</v>
      </c>
      <c r="B78" s="41" t="str">
        <f aca="false">'Task Tracker'!B78</f>
        <v>Elevator</v>
      </c>
      <c r="C78" s="41" t="str">
        <f aca="false">'Task Tracker'!E78</f>
        <v>Shaft / Structural Prep</v>
      </c>
      <c r="D78" s="42" t="str">
        <f aca="false">'Task Tracker'!G78</f>
        <v>Not Started</v>
      </c>
      <c r="E78" s="43" t="n">
        <f aca="false">'Task Tracker'!H78</f>
        <v>46191</v>
      </c>
      <c r="F78" s="43" t="n">
        <f aca="false">'Task Tracker'!I78</f>
        <v>46236</v>
      </c>
    </row>
    <row r="79" customFormat="false" ht="15" hidden="false" customHeight="false" outlineLevel="0" collapsed="false">
      <c r="A79" s="40" t="n">
        <f aca="false">'Task Tracker'!A79</f>
        <v>6</v>
      </c>
      <c r="B79" s="41" t="str">
        <f aca="false">'Task Tracker'!B79</f>
        <v>Elevator</v>
      </c>
      <c r="C79" s="41" t="str">
        <f aca="false">'Task Tracker'!E79</f>
        <v>Elevator Installation</v>
      </c>
      <c r="D79" s="42" t="str">
        <f aca="false">'Task Tracker'!G79</f>
        <v>Not Started</v>
      </c>
      <c r="E79" s="43" t="n">
        <f aca="false">'Task Tracker'!H79</f>
        <v>46323</v>
      </c>
      <c r="F79" s="43" t="n">
        <f aca="false">'Task Tracker'!I79</f>
        <v>46334</v>
      </c>
    </row>
    <row r="80" customFormat="false" ht="15" hidden="false" customHeight="false" outlineLevel="0" collapsed="false">
      <c r="A80" s="40" t="n">
        <f aca="false">'Task Tracker'!A80</f>
        <v>6</v>
      </c>
      <c r="B80" s="41" t="str">
        <f aca="false">'Task Tracker'!B80</f>
        <v>Elevator</v>
      </c>
      <c r="C80" s="41" t="str">
        <f aca="false">'Task Tracker'!E80</f>
        <v>Electrical Connections</v>
      </c>
      <c r="D80" s="42" t="str">
        <f aca="false">'Task Tracker'!G80</f>
        <v>Not Started</v>
      </c>
      <c r="E80" s="43" t="n">
        <f aca="false">'Task Tracker'!H80</f>
        <v>46217</v>
      </c>
      <c r="F80" s="43" t="n">
        <f aca="false">'Task Tracker'!I80</f>
        <v>46248</v>
      </c>
    </row>
    <row r="81" customFormat="false" ht="15" hidden="false" customHeight="false" outlineLevel="0" collapsed="false">
      <c r="A81" s="40" t="n">
        <f aca="false">'Task Tracker'!A81</f>
        <v>6</v>
      </c>
      <c r="B81" s="41" t="str">
        <f aca="false">'Task Tracker'!B81</f>
        <v>Elevator</v>
      </c>
      <c r="C81" s="41" t="str">
        <f aca="false">'Task Tracker'!E81</f>
        <v>Load Test (People &amp; Goods)</v>
      </c>
      <c r="D81" s="42" t="str">
        <f aca="false">'Task Tracker'!G81</f>
        <v>Not Started</v>
      </c>
      <c r="E81" s="43" t="n">
        <f aca="false">'Task Tracker'!H81</f>
        <v>46334</v>
      </c>
      <c r="F81" s="43" t="n">
        <f aca="false">'Task Tracker'!I81</f>
        <v>46344</v>
      </c>
    </row>
    <row r="82" customFormat="false" ht="15" hidden="false" customHeight="false" outlineLevel="0" collapsed="false">
      <c r="A82" s="40" t="n">
        <f aca="false">'Task Tracker'!A82</f>
        <v>6</v>
      </c>
      <c r="B82" s="41" t="str">
        <f aca="false">'Task Tracker'!B82</f>
        <v>Elevator</v>
      </c>
      <c r="C82" s="41" t="str">
        <f aca="false">'Task Tracker'!E82</f>
        <v>Safety Inspection &amp; Cert.</v>
      </c>
      <c r="D82" s="42" t="str">
        <f aca="false">'Task Tracker'!G82</f>
        <v>Not Started</v>
      </c>
      <c r="E82" s="43" t="n">
        <f aca="false">'Task Tracker'!H82</f>
        <v>46344</v>
      </c>
      <c r="F82" s="43" t="n">
        <f aca="false">'Task Tracker'!I82</f>
        <v>46350</v>
      </c>
    </row>
    <row r="83" customFormat="false" ht="15" hidden="false" customHeight="false" outlineLevel="0" collapsed="false">
      <c r="A83" s="40" t="n">
        <f aca="false">'Task Tracker'!A83</f>
        <v>6</v>
      </c>
      <c r="B83" s="41" t="str">
        <f aca="false">'Task Tracker'!B83</f>
        <v>Elevator</v>
      </c>
      <c r="C83" s="41" t="str">
        <f aca="false">'Task Tracker'!E83</f>
        <v>Handover &amp; Training</v>
      </c>
      <c r="D83" s="42" t="str">
        <f aca="false">'Task Tracker'!G83</f>
        <v>Not Started</v>
      </c>
      <c r="E83" s="43" t="n">
        <f aca="false">'Task Tracker'!H83</f>
        <v>46344</v>
      </c>
      <c r="F83" s="43" t="n">
        <f aca="false">'Task Tracker'!I83</f>
        <v>46350</v>
      </c>
    </row>
    <row r="84" customFormat="false" ht="15" hidden="false" customHeight="false" outlineLevel="0" collapsed="false">
      <c r="A84" s="39" t="s">
        <v>179</v>
      </c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39"/>
      <c r="AG84" s="39"/>
      <c r="AH84" s="39"/>
      <c r="AI84" s="39"/>
      <c r="AJ84" s="39"/>
      <c r="AK84" s="39"/>
      <c r="AL84" s="39"/>
    </row>
    <row r="85" customFormat="false" ht="15" hidden="false" customHeight="false" outlineLevel="0" collapsed="false">
      <c r="A85" s="40" t="n">
        <f aca="false">'Task Tracker'!A85</f>
        <v>7</v>
      </c>
      <c r="B85" s="41" t="str">
        <f aca="false">'Task Tracker'!B85</f>
        <v>Electrical Installation &amp; Transformer</v>
      </c>
      <c r="C85" s="41" t="str">
        <f aca="false">'Task Tracker'!E85</f>
        <v>Technical Specs Review</v>
      </c>
      <c r="D85" s="42" t="str">
        <f aca="false">'Task Tracker'!G85</f>
        <v>Complete</v>
      </c>
      <c r="E85" s="43" t="n">
        <f aca="false">'Task Tracker'!H85</f>
        <v>46133</v>
      </c>
      <c r="F85" s="43" t="n">
        <f aca="false">'Task Tracker'!I85</f>
        <v>46146</v>
      </c>
    </row>
    <row r="86" customFormat="false" ht="15" hidden="false" customHeight="false" outlineLevel="0" collapsed="false">
      <c r="A86" s="40" t="n">
        <f aca="false">'Task Tracker'!A86</f>
        <v>7</v>
      </c>
      <c r="B86" s="41" t="str">
        <f aca="false">'Task Tracker'!B86</f>
        <v>Electrical Installation &amp; Transformer</v>
      </c>
      <c r="C86" s="41" t="str">
        <f aca="false">'Task Tracker'!E86</f>
        <v>P&amp;ID Drawing Approval</v>
      </c>
      <c r="D86" s="42" t="str">
        <f aca="false">'Task Tracker'!G86</f>
        <v>Complete</v>
      </c>
      <c r="E86" s="43" t="n">
        <f aca="false">'Task Tracker'!H86</f>
        <v>46140</v>
      </c>
      <c r="F86" s="43" t="n">
        <f aca="false">'Task Tracker'!I86</f>
        <v>46153</v>
      </c>
    </row>
    <row r="87" customFormat="false" ht="15" hidden="false" customHeight="false" outlineLevel="0" collapsed="false">
      <c r="A87" s="40" t="n">
        <f aca="false">'Task Tracker'!A87</f>
        <v>7</v>
      </c>
      <c r="B87" s="41" t="str">
        <f aca="false">'Task Tracker'!B87</f>
        <v>Electrical Installation &amp; Transformer</v>
      </c>
      <c r="C87" s="41" t="str">
        <f aca="false">'Task Tracker'!E87</f>
        <v>Vendor Finalization</v>
      </c>
      <c r="D87" s="42" t="str">
        <f aca="false">'Task Tracker'!G87</f>
        <v>Complete</v>
      </c>
      <c r="E87" s="43" t="n">
        <f aca="false">'Task Tracker'!H87</f>
        <v>46153</v>
      </c>
      <c r="F87" s="43" t="n">
        <f aca="false">'Task Tracker'!I87</f>
        <v>46154</v>
      </c>
    </row>
    <row r="88" customFormat="false" ht="15" hidden="false" customHeight="false" outlineLevel="0" collapsed="false">
      <c r="A88" s="40" t="n">
        <f aca="false">'Task Tracker'!A88</f>
        <v>7</v>
      </c>
      <c r="B88" s="41" t="str">
        <f aca="false">'Task Tracker'!B88</f>
        <v>Electrical Installation &amp; Transformer</v>
      </c>
      <c r="C88" s="41" t="str">
        <f aca="false">'Task Tracker'!E88</f>
        <v>Purchase Order Issued</v>
      </c>
      <c r="D88" s="42" t="str">
        <f aca="false">'Task Tracker'!G88</f>
        <v>Complete</v>
      </c>
      <c r="E88" s="43" t="n">
        <f aca="false">'Task Tracker'!H88</f>
        <v>46184</v>
      </c>
      <c r="F88" s="43" t="n">
        <f aca="false">'Task Tracker'!I88</f>
        <v>46187</v>
      </c>
    </row>
    <row r="89" customFormat="false" ht="15" hidden="false" customHeight="false" outlineLevel="0" collapsed="false">
      <c r="A89" s="40" t="n">
        <f aca="false">'Task Tracker'!A89</f>
        <v>7</v>
      </c>
      <c r="B89" s="41" t="str">
        <f aca="false">'Task Tracker'!B89</f>
        <v>Electrical Installation &amp; Transformer</v>
      </c>
      <c r="C89" s="41" t="str">
        <f aca="false">'Task Tracker'!E89</f>
        <v>Manufacturing &amp; QC</v>
      </c>
      <c r="D89" s="42" t="str">
        <f aca="false">'Task Tracker'!G89</f>
        <v>Not Started</v>
      </c>
      <c r="E89" s="43" t="n">
        <f aca="false">'Task Tracker'!H89</f>
        <v>46204</v>
      </c>
      <c r="F89" s="43" t="n">
        <f aca="false">'Task Tracker'!I89</f>
        <v>46283</v>
      </c>
    </row>
    <row r="90" customFormat="false" ht="15" hidden="false" customHeight="false" outlineLevel="0" collapsed="false">
      <c r="A90" s="40" t="n">
        <f aca="false">'Task Tracker'!A90</f>
        <v>7</v>
      </c>
      <c r="B90" s="41" t="str">
        <f aca="false">'Task Tracker'!B90</f>
        <v>Electrical Installation &amp; Transformer</v>
      </c>
      <c r="C90" s="41" t="str">
        <f aca="false">'Task Tracker'!E90</f>
        <v>Site Delivery</v>
      </c>
      <c r="D90" s="42" t="str">
        <f aca="false">'Task Tracker'!G90</f>
        <v>Not Started</v>
      </c>
      <c r="E90" s="43" t="n">
        <f aca="false">'Task Tracker'!H90</f>
        <v>46283</v>
      </c>
      <c r="F90" s="43" t="n">
        <f aca="false">'Task Tracker'!I90</f>
        <v>46285</v>
      </c>
    </row>
    <row r="91" customFormat="false" ht="15" hidden="false" customHeight="false" outlineLevel="0" collapsed="false">
      <c r="A91" s="40" t="n">
        <f aca="false">'Task Tracker'!A91</f>
        <v>7</v>
      </c>
      <c r="B91" s="41" t="str">
        <f aca="false">'Task Tracker'!B91</f>
        <v>Electrical Installation &amp; Transformer</v>
      </c>
      <c r="C91" s="41" t="str">
        <f aca="false">'Task Tracker'!E91</f>
        <v>Civil &amp; Foundation Prep</v>
      </c>
      <c r="D91" s="42" t="str">
        <f aca="false">'Task Tracker'!G91</f>
        <v>Not Started</v>
      </c>
      <c r="E91" s="43" t="n">
        <f aca="false">'Task Tracker'!H91</f>
        <v>46191</v>
      </c>
      <c r="F91" s="43" t="n">
        <f aca="false">'Task Tracker'!I91</f>
        <v>46236</v>
      </c>
    </row>
    <row r="92" customFormat="false" ht="15" hidden="false" customHeight="false" outlineLevel="0" collapsed="false">
      <c r="A92" s="40" t="n">
        <f aca="false">'Task Tracker'!A92</f>
        <v>7</v>
      </c>
      <c r="B92" s="41" t="str">
        <f aca="false">'Task Tracker'!B92</f>
        <v>Electrical Installation &amp; Transformer</v>
      </c>
      <c r="C92" s="41" t="str">
        <f aca="false">'Task Tracker'!E92</f>
        <v>Equipment Installation</v>
      </c>
      <c r="D92" s="42" t="str">
        <f aca="false">'Task Tracker'!G92</f>
        <v>Not Started</v>
      </c>
      <c r="E92" s="43" t="n">
        <f aca="false">'Task Tracker'!H92</f>
        <v>46195</v>
      </c>
      <c r="F92" s="43" t="n">
        <f aca="false">'Task Tracker'!I92</f>
        <v>46287</v>
      </c>
    </row>
    <row r="93" customFormat="false" ht="15" hidden="false" customHeight="false" outlineLevel="0" collapsed="false">
      <c r="A93" s="40" t="n">
        <f aca="false">'Task Tracker'!A93</f>
        <v>7</v>
      </c>
      <c r="B93" s="41" t="str">
        <f aca="false">'Task Tracker'!B93</f>
        <v>Electrical Installation &amp; Transformer</v>
      </c>
      <c r="C93" s="41" t="str">
        <f aca="false">'Task Tracker'!E93</f>
        <v>Piping &amp; Connections</v>
      </c>
      <c r="D93" s="42" t="str">
        <f aca="false">'Task Tracker'!G93</f>
        <v>Not Started</v>
      </c>
      <c r="E93" s="43" t="n">
        <f aca="false">'Task Tracker'!H93</f>
        <v>46217</v>
      </c>
      <c r="F93" s="43" t="n">
        <f aca="false">'Task Tracker'!I93</f>
        <v>46248</v>
      </c>
    </row>
    <row r="94" customFormat="false" ht="15" hidden="false" customHeight="false" outlineLevel="0" collapsed="false">
      <c r="A94" s="40" t="n">
        <f aca="false">'Task Tracker'!A94</f>
        <v>7</v>
      </c>
      <c r="B94" s="41" t="str">
        <f aca="false">'Task Tracker'!B94</f>
        <v>Electrical Installation &amp; Transformer</v>
      </c>
      <c r="C94" s="41" t="str">
        <f aca="false">'Task Tracker'!E94</f>
        <v>Factory Acceptance Test</v>
      </c>
      <c r="D94" s="42" t="str">
        <f aca="false">'Task Tracker'!G94</f>
        <v>Not Started</v>
      </c>
      <c r="E94" s="43" t="n">
        <f aca="false">'Task Tracker'!H94</f>
        <v>46334</v>
      </c>
      <c r="F94" s="43" t="n">
        <f aca="false">'Task Tracker'!I94</f>
        <v>46344</v>
      </c>
    </row>
    <row r="95" customFormat="false" ht="15" hidden="false" customHeight="false" outlineLevel="0" collapsed="false">
      <c r="A95" s="40" t="n">
        <f aca="false">'Task Tracker'!A95</f>
        <v>7</v>
      </c>
      <c r="B95" s="41" t="str">
        <f aca="false">'Task Tracker'!B95</f>
        <v>Electrical Installation &amp; Transformer</v>
      </c>
      <c r="C95" s="41" t="str">
        <f aca="false">'Task Tracker'!E95</f>
        <v>Site Acceptance Test</v>
      </c>
      <c r="D95" s="42" t="str">
        <f aca="false">'Task Tracker'!G95</f>
        <v>Not Started</v>
      </c>
      <c r="E95" s="43" t="n">
        <f aca="false">'Task Tracker'!H95</f>
        <v>46344</v>
      </c>
      <c r="F95" s="43" t="n">
        <f aca="false">'Task Tracker'!I95</f>
        <v>46350</v>
      </c>
    </row>
    <row r="96" customFormat="false" ht="15" hidden="false" customHeight="false" outlineLevel="0" collapsed="false">
      <c r="A96" s="40" t="n">
        <f aca="false">'Task Tracker'!A96</f>
        <v>7</v>
      </c>
      <c r="B96" s="41" t="str">
        <f aca="false">'Task Tracker'!B96</f>
        <v>Electrical Installation &amp; Transformer</v>
      </c>
      <c r="C96" s="41" t="str">
        <f aca="false">'Task Tracker'!E96</f>
        <v>Performance Verification</v>
      </c>
      <c r="D96" s="42" t="str">
        <f aca="false">'Task Tracker'!G96</f>
        <v>Not Started</v>
      </c>
      <c r="E96" s="43" t="n">
        <f aca="false">'Task Tracker'!H96</f>
        <v>46344</v>
      </c>
      <c r="F96" s="43" t="n">
        <f aca="false">'Task Tracker'!I96</f>
        <v>46350</v>
      </c>
    </row>
    <row r="97" customFormat="false" ht="15" hidden="false" customHeight="false" outlineLevel="0" collapsed="false">
      <c r="A97" s="39" t="s">
        <v>180</v>
      </c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39"/>
      <c r="AC97" s="39"/>
      <c r="AD97" s="39"/>
      <c r="AE97" s="39"/>
      <c r="AF97" s="39"/>
      <c r="AG97" s="39"/>
      <c r="AH97" s="39"/>
      <c r="AI97" s="39"/>
      <c r="AJ97" s="39"/>
      <c r="AK97" s="39"/>
      <c r="AL97" s="39"/>
    </row>
    <row r="98" customFormat="false" ht="15" hidden="false" customHeight="false" outlineLevel="0" collapsed="false">
      <c r="A98" s="40" t="n">
        <f aca="false">'Task Tracker'!A98</f>
        <v>8</v>
      </c>
      <c r="B98" s="41" t="str">
        <f aca="false">'Task Tracker'!B98</f>
        <v>Aménagement Extérieur</v>
      </c>
      <c r="C98" s="41" t="str">
        <f aca="false">'Task Tracker'!E98</f>
        <v>Technical Specs Review</v>
      </c>
      <c r="D98" s="42" t="str">
        <f aca="false">'Task Tracker'!G98</f>
        <v>Complete</v>
      </c>
      <c r="E98" s="43" t="n">
        <f aca="false">'Task Tracker'!H98</f>
        <v>46133</v>
      </c>
      <c r="F98" s="43" t="n">
        <f aca="false">'Task Tracker'!I98</f>
        <v>46146</v>
      </c>
    </row>
    <row r="99" customFormat="false" ht="15" hidden="false" customHeight="false" outlineLevel="0" collapsed="false">
      <c r="A99" s="40" t="n">
        <f aca="false">'Task Tracker'!A99</f>
        <v>8</v>
      </c>
      <c r="B99" s="41" t="str">
        <f aca="false">'Task Tracker'!B99</f>
        <v>Aménagement Extérieur</v>
      </c>
      <c r="C99" s="41" t="str">
        <f aca="false">'Task Tracker'!E99</f>
        <v>P&amp;ID Drawing Approval</v>
      </c>
      <c r="D99" s="42" t="str">
        <f aca="false">'Task Tracker'!G99</f>
        <v>Complete</v>
      </c>
      <c r="E99" s="43" t="n">
        <f aca="false">'Task Tracker'!H99</f>
        <v>46201</v>
      </c>
      <c r="F99" s="43" t="n">
        <f aca="false">'Task Tracker'!I99</f>
        <v>46214</v>
      </c>
    </row>
    <row r="100" customFormat="false" ht="15" hidden="false" customHeight="false" outlineLevel="0" collapsed="false">
      <c r="A100" s="40" t="n">
        <f aca="false">'Task Tracker'!A100</f>
        <v>8</v>
      </c>
      <c r="B100" s="41" t="str">
        <f aca="false">'Task Tracker'!B100</f>
        <v>Aménagement Extérieur</v>
      </c>
      <c r="C100" s="41" t="str">
        <f aca="false">'Task Tracker'!E100</f>
        <v>Vendor Finalization</v>
      </c>
      <c r="D100" s="42" t="str">
        <f aca="false">'Task Tracker'!G100</f>
        <v>In Progress</v>
      </c>
      <c r="E100" s="43" t="n">
        <f aca="false">'Task Tracker'!H100</f>
        <v>46214</v>
      </c>
      <c r="F100" s="43" t="n">
        <f aca="false">'Task Tracker'!I100</f>
        <v>46306</v>
      </c>
    </row>
    <row r="101" customFormat="false" ht="15" hidden="false" customHeight="false" outlineLevel="0" collapsed="false">
      <c r="A101" s="39" t="s">
        <v>181</v>
      </c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  <c r="AD101" s="39"/>
      <c r="AE101" s="39"/>
      <c r="AF101" s="39"/>
      <c r="AG101" s="39"/>
      <c r="AH101" s="39"/>
      <c r="AI101" s="39"/>
      <c r="AJ101" s="39"/>
      <c r="AK101" s="39"/>
      <c r="AL101" s="39"/>
    </row>
    <row r="102" customFormat="false" ht="15" hidden="false" customHeight="false" outlineLevel="0" collapsed="false">
      <c r="A102" s="40" t="n">
        <f aca="false">'Task Tracker'!A102</f>
        <v>9</v>
      </c>
      <c r="B102" s="41" t="str">
        <f aca="false">'Task Tracker'!B102</f>
        <v>Solaire Électricité</v>
      </c>
      <c r="C102" s="41" t="str">
        <f aca="false">'Task Tracker'!E102</f>
        <v>Technical Specs Review</v>
      </c>
      <c r="D102" s="42" t="str">
        <f aca="false">'Task Tracker'!G102</f>
        <v>Not Started</v>
      </c>
      <c r="E102" s="43" t="n">
        <f aca="false">'Task Tracker'!H102</f>
        <v>46133</v>
      </c>
      <c r="F102" s="43" t="n">
        <f aca="false">'Task Tracker'!I102</f>
        <v>46146</v>
      </c>
    </row>
    <row r="103" customFormat="false" ht="15" hidden="false" customHeight="false" outlineLevel="0" collapsed="false">
      <c r="A103" s="40" t="n">
        <f aca="false">'Task Tracker'!A103</f>
        <v>9</v>
      </c>
      <c r="B103" s="41" t="str">
        <f aca="false">'Task Tracker'!B103</f>
        <v>Solaire Électricité</v>
      </c>
      <c r="C103" s="41" t="str">
        <f aca="false">'Task Tracker'!E103</f>
        <v>P&amp;ID Drawing Approval</v>
      </c>
      <c r="D103" s="42" t="str">
        <f aca="false">'Task Tracker'!G103</f>
        <v>Not Started</v>
      </c>
      <c r="E103" s="43" t="n">
        <f aca="false">'Task Tracker'!H103</f>
        <v>46140</v>
      </c>
      <c r="F103" s="43" t="n">
        <f aca="false">'Task Tracker'!I103</f>
        <v>46153</v>
      </c>
    </row>
    <row r="104" customFormat="false" ht="15" hidden="false" customHeight="false" outlineLevel="0" collapsed="false">
      <c r="A104" s="40" t="n">
        <f aca="false">'Task Tracker'!A104</f>
        <v>9</v>
      </c>
      <c r="B104" s="41" t="str">
        <f aca="false">'Task Tracker'!B104</f>
        <v>Solaire Électricité</v>
      </c>
      <c r="C104" s="41" t="str">
        <f aca="false">'Task Tracker'!E104</f>
        <v>Vendor Finalization</v>
      </c>
      <c r="D104" s="42" t="str">
        <f aca="false">'Task Tracker'!G104</f>
        <v>Not Started</v>
      </c>
      <c r="E104" s="43" t="n">
        <f aca="false">'Task Tracker'!H104</f>
        <v>46153</v>
      </c>
      <c r="F104" s="43" t="n">
        <f aca="false">'Task Tracker'!I104</f>
        <v>46214</v>
      </c>
    </row>
    <row r="105" customFormat="false" ht="15" hidden="false" customHeight="false" outlineLevel="0" collapsed="false">
      <c r="A105" s="40" t="n">
        <f aca="false">'Task Tracker'!A105</f>
        <v>9</v>
      </c>
      <c r="B105" s="41" t="str">
        <f aca="false">'Task Tracker'!B105</f>
        <v>Solaire Électricité</v>
      </c>
      <c r="C105" s="41" t="str">
        <f aca="false">'Task Tracker'!E105</f>
        <v>Purchase Order Issued</v>
      </c>
      <c r="D105" s="42" t="str">
        <f aca="false">'Task Tracker'!G105</f>
        <v>Not Started</v>
      </c>
      <c r="E105" s="43" t="n">
        <f aca="false">'Task Tracker'!H105</f>
        <v>46214</v>
      </c>
      <c r="F105" s="43" t="n">
        <f aca="false">'Task Tracker'!I105</f>
        <v>46221</v>
      </c>
    </row>
    <row r="106" customFormat="false" ht="15" hidden="false" customHeight="false" outlineLevel="0" collapsed="false">
      <c r="A106" s="40" t="n">
        <f aca="false">'Task Tracker'!A106</f>
        <v>9</v>
      </c>
      <c r="B106" s="41" t="str">
        <f aca="false">'Task Tracker'!B106</f>
        <v>Solaire Électricité</v>
      </c>
      <c r="C106" s="41" t="str">
        <f aca="false">'Task Tracker'!E106</f>
        <v>Manufacturing &amp; QC</v>
      </c>
      <c r="D106" s="42" t="str">
        <f aca="false">'Task Tracker'!G106</f>
        <v>Not Started</v>
      </c>
      <c r="E106" s="43" t="n">
        <f aca="false">'Task Tracker'!H106</f>
        <v>46221</v>
      </c>
      <c r="F106" s="43" t="n">
        <f aca="false">'Task Tracker'!I106</f>
        <v>46252</v>
      </c>
    </row>
    <row r="107" customFormat="false" ht="15" hidden="false" customHeight="false" outlineLevel="0" collapsed="false">
      <c r="A107" s="40" t="n">
        <f aca="false">'Task Tracker'!A107</f>
        <v>9</v>
      </c>
      <c r="B107" s="41" t="str">
        <f aca="false">'Task Tracker'!B107</f>
        <v>Solaire Électricité</v>
      </c>
      <c r="C107" s="41" t="str">
        <f aca="false">'Task Tracker'!E107</f>
        <v>Shipping / Sea Freight</v>
      </c>
      <c r="D107" s="42" t="str">
        <f aca="false">'Task Tracker'!G107</f>
        <v>Not Started</v>
      </c>
      <c r="E107" s="43" t="n">
        <f aca="false">'Task Tracker'!H107</f>
        <v>46252</v>
      </c>
      <c r="F107" s="43" t="n">
        <f aca="false">'Task Tracker'!I107</f>
        <v>46283</v>
      </c>
    </row>
    <row r="108" customFormat="false" ht="15" hidden="false" customHeight="false" outlineLevel="0" collapsed="false">
      <c r="A108" s="40" t="n">
        <f aca="false">'Task Tracker'!A108</f>
        <v>9</v>
      </c>
      <c r="B108" s="41" t="str">
        <f aca="false">'Task Tracker'!B108</f>
        <v>Solaire Électricité</v>
      </c>
      <c r="C108" s="41" t="str">
        <f aca="false">'Task Tracker'!E108</f>
        <v>Customs Clearance</v>
      </c>
      <c r="D108" s="42" t="str">
        <f aca="false">'Task Tracker'!G108</f>
        <v>Not Started</v>
      </c>
      <c r="E108" s="43" t="n">
        <f aca="false">'Task Tracker'!H108</f>
        <v>46283</v>
      </c>
      <c r="F108" s="43" t="n">
        <f aca="false">'Task Tracker'!I108</f>
        <v>46313</v>
      </c>
    </row>
    <row r="109" customFormat="false" ht="15" hidden="false" customHeight="false" outlineLevel="0" collapsed="false">
      <c r="A109" s="40" t="n">
        <f aca="false">'Task Tracker'!A109</f>
        <v>9</v>
      </c>
      <c r="B109" s="41" t="str">
        <f aca="false">'Task Tracker'!B109</f>
        <v>Solaire Électricité</v>
      </c>
      <c r="C109" s="41" t="str">
        <f aca="false">'Task Tracker'!E109</f>
        <v>Site Delivery</v>
      </c>
      <c r="D109" s="42" t="str">
        <f aca="false">'Task Tracker'!G109</f>
        <v>Not Started</v>
      </c>
      <c r="E109" s="43" t="n">
        <f aca="false">'Task Tracker'!H109</f>
        <v>46313</v>
      </c>
      <c r="F109" s="43" t="n">
        <f aca="false">'Task Tracker'!I109</f>
        <v>46323</v>
      </c>
    </row>
    <row r="110" customFormat="false" ht="15" hidden="false" customHeight="false" outlineLevel="0" collapsed="false">
      <c r="A110" s="40" t="n">
        <f aca="false">'Task Tracker'!A110</f>
        <v>9</v>
      </c>
      <c r="B110" s="41" t="str">
        <f aca="false">'Task Tracker'!B110</f>
        <v>Solaire Électricité</v>
      </c>
      <c r="C110" s="41" t="str">
        <f aca="false">'Task Tracker'!E110</f>
        <v>Civil &amp; Foundation Prep</v>
      </c>
      <c r="D110" s="42" t="str">
        <f aca="false">'Task Tracker'!G110</f>
        <v>Not Started</v>
      </c>
      <c r="E110" s="43" t="n">
        <f aca="false">'Task Tracker'!H110</f>
        <v>46191</v>
      </c>
      <c r="F110" s="43" t="n">
        <f aca="false">'Task Tracker'!I110</f>
        <v>46236</v>
      </c>
    </row>
    <row r="111" customFormat="false" ht="15" hidden="false" customHeight="false" outlineLevel="0" collapsed="false">
      <c r="A111" s="40" t="n">
        <f aca="false">'Task Tracker'!A111</f>
        <v>9</v>
      </c>
      <c r="B111" s="41" t="str">
        <f aca="false">'Task Tracker'!B111</f>
        <v>Solaire Électricité</v>
      </c>
      <c r="C111" s="41" t="str">
        <f aca="false">'Task Tracker'!E111</f>
        <v>Equipment Installation</v>
      </c>
      <c r="D111" s="42" t="str">
        <f aca="false">'Task Tracker'!G111</f>
        <v>Not Started</v>
      </c>
      <c r="E111" s="43" t="n">
        <f aca="false">'Task Tracker'!H111</f>
        <v>46323</v>
      </c>
      <c r="F111" s="43" t="n">
        <f aca="false">'Task Tracker'!I111</f>
        <v>46334</v>
      </c>
    </row>
    <row r="112" customFormat="false" ht="15" hidden="false" customHeight="false" outlineLevel="0" collapsed="false">
      <c r="A112" s="40" t="n">
        <f aca="false">'Task Tracker'!A112</f>
        <v>9</v>
      </c>
      <c r="B112" s="41" t="str">
        <f aca="false">'Task Tracker'!B112</f>
        <v>Solaire Électricité</v>
      </c>
      <c r="C112" s="41" t="str">
        <f aca="false">'Task Tracker'!E112</f>
        <v>Piping &amp; Connections</v>
      </c>
      <c r="D112" s="42" t="str">
        <f aca="false">'Task Tracker'!G112</f>
        <v>Not Started</v>
      </c>
      <c r="E112" s="43" t="n">
        <f aca="false">'Task Tracker'!H112</f>
        <v>46217</v>
      </c>
      <c r="F112" s="43" t="n">
        <f aca="false">'Task Tracker'!I112</f>
        <v>46248</v>
      </c>
    </row>
    <row r="113" customFormat="false" ht="15" hidden="false" customHeight="false" outlineLevel="0" collapsed="false">
      <c r="A113" s="40" t="n">
        <f aca="false">'Task Tracker'!A113</f>
        <v>9</v>
      </c>
      <c r="B113" s="41" t="str">
        <f aca="false">'Task Tracker'!B113</f>
        <v>Solaire Électricité</v>
      </c>
      <c r="C113" s="41" t="str">
        <f aca="false">'Task Tracker'!E113</f>
        <v>Factory Acceptance Test</v>
      </c>
      <c r="D113" s="42" t="str">
        <f aca="false">'Task Tracker'!G113</f>
        <v>Not Started</v>
      </c>
      <c r="E113" s="43" t="n">
        <f aca="false">'Task Tracker'!H113</f>
        <v>46334</v>
      </c>
      <c r="F113" s="43" t="n">
        <f aca="false">'Task Tracker'!I113</f>
        <v>46344</v>
      </c>
    </row>
    <row r="114" customFormat="false" ht="15" hidden="false" customHeight="false" outlineLevel="0" collapsed="false">
      <c r="A114" s="40" t="n">
        <f aca="false">'Task Tracker'!A114</f>
        <v>9</v>
      </c>
      <c r="B114" s="41" t="str">
        <f aca="false">'Task Tracker'!B114</f>
        <v>Solaire Électricité</v>
      </c>
      <c r="C114" s="41" t="str">
        <f aca="false">'Task Tracker'!E114</f>
        <v>Site Acceptance Test</v>
      </c>
      <c r="D114" s="42" t="str">
        <f aca="false">'Task Tracker'!G114</f>
        <v>Not Started</v>
      </c>
      <c r="E114" s="43" t="n">
        <f aca="false">'Task Tracker'!H114</f>
        <v>46344</v>
      </c>
      <c r="F114" s="43" t="n">
        <f aca="false">'Task Tracker'!I114</f>
        <v>46350</v>
      </c>
    </row>
    <row r="115" customFormat="false" ht="15" hidden="false" customHeight="false" outlineLevel="0" collapsed="false">
      <c r="A115" s="40" t="n">
        <f aca="false">'Task Tracker'!A115</f>
        <v>9</v>
      </c>
      <c r="B115" s="41" t="str">
        <f aca="false">'Task Tracker'!B115</f>
        <v>Solaire Électricité</v>
      </c>
      <c r="C115" s="41" t="str">
        <f aca="false">'Task Tracker'!E115</f>
        <v>Performance Verification</v>
      </c>
      <c r="D115" s="42" t="str">
        <f aca="false">'Task Tracker'!G115</f>
        <v>Not Started</v>
      </c>
      <c r="E115" s="43" t="n">
        <f aca="false">'Task Tracker'!H115</f>
        <v>46344</v>
      </c>
      <c r="F115" s="43" t="n">
        <f aca="false">'Task Tracker'!I115</f>
        <v>46350</v>
      </c>
    </row>
    <row r="116" customFormat="false" ht="15" hidden="false" customHeight="false" outlineLevel="0" collapsed="false">
      <c r="A116" s="39" t="s">
        <v>182</v>
      </c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  <c r="AB116" s="39"/>
      <c r="AC116" s="39"/>
      <c r="AD116" s="39"/>
      <c r="AE116" s="39"/>
      <c r="AF116" s="39"/>
      <c r="AG116" s="39"/>
      <c r="AH116" s="39"/>
      <c r="AI116" s="39"/>
      <c r="AJ116" s="39"/>
      <c r="AK116" s="39"/>
      <c r="AL116" s="39"/>
    </row>
    <row r="117" customFormat="false" ht="15" hidden="false" customHeight="false" outlineLevel="0" collapsed="false">
      <c r="A117" s="40" t="n">
        <f aca="false">'Task Tracker'!A117</f>
        <v>10</v>
      </c>
      <c r="B117" s="41" t="str">
        <f aca="false">'Task Tracker'!B117</f>
        <v>Installation GAZ</v>
      </c>
      <c r="C117" s="41" t="str">
        <f aca="false">'Task Tracker'!E117</f>
        <v>Technical Specs Review</v>
      </c>
      <c r="D117" s="42" t="str">
        <f aca="false">'Task Tracker'!G117</f>
        <v>Complete</v>
      </c>
      <c r="E117" s="43" t="n">
        <f aca="false">'Task Tracker'!H117</f>
        <v>46133</v>
      </c>
      <c r="F117" s="43" t="n">
        <f aca="false">'Task Tracker'!I117</f>
        <v>46146</v>
      </c>
    </row>
    <row r="118" customFormat="false" ht="15" hidden="false" customHeight="false" outlineLevel="0" collapsed="false">
      <c r="A118" s="40" t="n">
        <f aca="false">'Task Tracker'!A118</f>
        <v>10</v>
      </c>
      <c r="B118" s="41" t="str">
        <f aca="false">'Task Tracker'!B118</f>
        <v>Installation GAZ</v>
      </c>
      <c r="C118" s="41" t="str">
        <f aca="false">'Task Tracker'!E118</f>
        <v>P&amp;ID Drawing Approval</v>
      </c>
      <c r="D118" s="42" t="str">
        <f aca="false">'Task Tracker'!G118</f>
        <v>Complete</v>
      </c>
      <c r="E118" s="43" t="n">
        <f aca="false">'Task Tracker'!H118</f>
        <v>46201</v>
      </c>
      <c r="F118" s="43" t="n">
        <f aca="false">'Task Tracker'!I118</f>
        <v>46214</v>
      </c>
    </row>
    <row r="119" customFormat="false" ht="15" hidden="false" customHeight="false" outlineLevel="0" collapsed="false">
      <c r="A119" s="40" t="n">
        <f aca="false">'Task Tracker'!A119</f>
        <v>10</v>
      </c>
      <c r="B119" s="41" t="str">
        <f aca="false">'Task Tracker'!B119</f>
        <v>Installation GAZ</v>
      </c>
      <c r="C119" s="41" t="str">
        <f aca="false">'Task Tracker'!E119</f>
        <v>Vendor Finalization</v>
      </c>
      <c r="D119" s="42" t="str">
        <f aca="false">'Task Tracker'!G119</f>
        <v>In Progress</v>
      </c>
      <c r="E119" s="43" t="n">
        <f aca="false">'Task Tracker'!H119</f>
        <v>46214</v>
      </c>
      <c r="F119" s="43" t="n">
        <f aca="false">'Task Tracker'!I119</f>
        <v>46224</v>
      </c>
    </row>
    <row r="120" customFormat="false" ht="15" hidden="false" customHeight="false" outlineLevel="0" collapsed="false">
      <c r="A120" s="40" t="n">
        <f aca="false">'Task Tracker'!A120</f>
        <v>10</v>
      </c>
      <c r="B120" s="41" t="str">
        <f aca="false">'Task Tracker'!B120</f>
        <v>Installation GAZ</v>
      </c>
      <c r="C120" s="41" t="str">
        <f aca="false">'Task Tracker'!E120</f>
        <v>Purchase Order Issued</v>
      </c>
      <c r="D120" s="42" t="str">
        <f aca="false">'Task Tracker'!G120</f>
        <v>Not Started</v>
      </c>
      <c r="E120" s="43" t="n">
        <f aca="false">'Task Tracker'!H120</f>
        <v>46224</v>
      </c>
      <c r="F120" s="43" t="n">
        <f aca="false">'Task Tracker'!I120</f>
        <v>46235</v>
      </c>
    </row>
    <row r="121" customFormat="false" ht="15" hidden="false" customHeight="false" outlineLevel="0" collapsed="false">
      <c r="A121" s="40" t="n">
        <f aca="false">'Task Tracker'!A121</f>
        <v>10</v>
      </c>
      <c r="B121" s="41" t="str">
        <f aca="false">'Task Tracker'!B121</f>
        <v>Installation GAZ</v>
      </c>
      <c r="C121" s="41" t="str">
        <f aca="false">'Task Tracker'!E121</f>
        <v>Manufacturing &amp; QC</v>
      </c>
      <c r="D121" s="42" t="str">
        <f aca="false">'Task Tracker'!G121</f>
        <v>Not Started</v>
      </c>
      <c r="E121" s="43" t="n">
        <f aca="false">'Task Tracker'!H121</f>
        <v>46235</v>
      </c>
      <c r="F121" s="43" t="n">
        <f aca="false">'Task Tracker'!I121</f>
        <v>46266</v>
      </c>
    </row>
    <row r="122" customFormat="false" ht="15" hidden="false" customHeight="false" outlineLevel="0" collapsed="false">
      <c r="A122" s="40" t="n">
        <f aca="false">'Task Tracker'!A122</f>
        <v>10</v>
      </c>
      <c r="B122" s="41" t="str">
        <f aca="false">'Task Tracker'!B122</f>
        <v>Installation GAZ</v>
      </c>
      <c r="C122" s="41" t="str">
        <f aca="false">'Task Tracker'!E122</f>
        <v>Site Delivery</v>
      </c>
      <c r="D122" s="42" t="str">
        <f aca="false">'Task Tracker'!G122</f>
        <v>Not Started</v>
      </c>
      <c r="E122" s="43" t="n">
        <f aca="false">'Task Tracker'!H122</f>
        <v>46273</v>
      </c>
      <c r="F122" s="43" t="n">
        <f aca="false">'Task Tracker'!I122</f>
        <v>46274</v>
      </c>
    </row>
    <row r="123" customFormat="false" ht="15" hidden="false" customHeight="false" outlineLevel="0" collapsed="false">
      <c r="A123" s="40" t="n">
        <f aca="false">'Task Tracker'!A123</f>
        <v>10</v>
      </c>
      <c r="B123" s="41" t="str">
        <f aca="false">'Task Tracker'!B123</f>
        <v>Installation GAZ</v>
      </c>
      <c r="C123" s="41" t="str">
        <f aca="false">'Task Tracker'!E123</f>
        <v>Civil &amp; Foundation Prep</v>
      </c>
      <c r="D123" s="42" t="str">
        <f aca="false">'Task Tracker'!G123</f>
        <v>Not Started</v>
      </c>
      <c r="E123" s="43" t="n">
        <f aca="false">'Task Tracker'!H123</f>
        <v>46236</v>
      </c>
      <c r="F123" s="43" t="n">
        <f aca="false">'Task Tracker'!I123</f>
        <v>46267</v>
      </c>
    </row>
    <row r="124" customFormat="false" ht="15" hidden="false" customHeight="false" outlineLevel="0" collapsed="false">
      <c r="A124" s="40" t="n">
        <f aca="false">'Task Tracker'!A124</f>
        <v>10</v>
      </c>
      <c r="B124" s="41" t="str">
        <f aca="false">'Task Tracker'!B124</f>
        <v>Installation GAZ</v>
      </c>
      <c r="C124" s="41" t="str">
        <f aca="false">'Task Tracker'!E124</f>
        <v>Equipment Installation</v>
      </c>
      <c r="D124" s="42" t="str">
        <f aca="false">'Task Tracker'!G124</f>
        <v>Not Started</v>
      </c>
      <c r="E124" s="43" t="n">
        <f aca="false">'Task Tracker'!H124</f>
        <v>46275</v>
      </c>
      <c r="F124" s="43" t="n">
        <f aca="false">'Task Tracker'!I124</f>
        <v>46303</v>
      </c>
    </row>
    <row r="125" customFormat="false" ht="15" hidden="false" customHeight="false" outlineLevel="0" collapsed="false">
      <c r="A125" s="40" t="n">
        <f aca="false">'Task Tracker'!A125</f>
        <v>10</v>
      </c>
      <c r="B125" s="41" t="str">
        <f aca="false">'Task Tracker'!B125</f>
        <v>Installation GAZ</v>
      </c>
      <c r="C125" s="41" t="str">
        <f aca="false">'Task Tracker'!E125</f>
        <v>Piping &amp; Connections</v>
      </c>
      <c r="D125" s="42" t="str">
        <f aca="false">'Task Tracker'!G125</f>
        <v>Not Started</v>
      </c>
      <c r="E125" s="43" t="n">
        <f aca="false">'Task Tracker'!H125</f>
        <v>46275</v>
      </c>
      <c r="F125" s="43" t="n">
        <f aca="false">'Task Tracker'!I125</f>
        <v>46303</v>
      </c>
    </row>
    <row r="126" customFormat="false" ht="15" hidden="false" customHeight="false" outlineLevel="0" collapsed="false">
      <c r="A126" s="40" t="n">
        <f aca="false">'Task Tracker'!A126</f>
        <v>10</v>
      </c>
      <c r="B126" s="41" t="str">
        <f aca="false">'Task Tracker'!B126</f>
        <v>Installation GAZ</v>
      </c>
      <c r="C126" s="41" t="str">
        <f aca="false">'Task Tracker'!E126</f>
        <v>Factory Acceptance Test</v>
      </c>
      <c r="D126" s="42" t="str">
        <f aca="false">'Task Tracker'!G126</f>
        <v>Not Started</v>
      </c>
      <c r="E126" s="43" t="n">
        <f aca="false">'Task Tracker'!H126</f>
        <v>46303</v>
      </c>
      <c r="F126" s="43" t="n">
        <f aca="false">'Task Tracker'!I126</f>
        <v>46304</v>
      </c>
    </row>
    <row r="127" customFormat="false" ht="15" hidden="false" customHeight="false" outlineLevel="0" collapsed="false">
      <c r="A127" s="40" t="n">
        <f aca="false">'Task Tracker'!A127</f>
        <v>10</v>
      </c>
      <c r="B127" s="41" t="str">
        <f aca="false">'Task Tracker'!B127</f>
        <v>Installation GAZ</v>
      </c>
      <c r="C127" s="41" t="str">
        <f aca="false">'Task Tracker'!E127</f>
        <v>Site Acceptance Test</v>
      </c>
      <c r="D127" s="42" t="str">
        <f aca="false">'Task Tracker'!G127</f>
        <v>Not Started</v>
      </c>
      <c r="E127" s="43" t="n">
        <f aca="false">'Task Tracker'!H127</f>
        <v>46344</v>
      </c>
      <c r="F127" s="43" t="n">
        <f aca="false">'Task Tracker'!I127</f>
        <v>46350</v>
      </c>
    </row>
    <row r="128" customFormat="false" ht="15" hidden="false" customHeight="false" outlineLevel="0" collapsed="false">
      <c r="A128" s="40" t="n">
        <f aca="false">'Task Tracker'!A128</f>
        <v>10</v>
      </c>
      <c r="B128" s="41" t="str">
        <f aca="false">'Task Tracker'!B128</f>
        <v>Installation GAZ</v>
      </c>
      <c r="C128" s="41" t="str">
        <f aca="false">'Task Tracker'!E128</f>
        <v>Performance Verification</v>
      </c>
      <c r="D128" s="42" t="str">
        <f aca="false">'Task Tracker'!G128</f>
        <v>Not Started</v>
      </c>
      <c r="E128" s="43" t="n">
        <f aca="false">'Task Tracker'!H128</f>
        <v>46344</v>
      </c>
      <c r="F128" s="43" t="n">
        <f aca="false">'Task Tracker'!I128</f>
        <v>46350</v>
      </c>
    </row>
    <row r="129" customFormat="false" ht="15" hidden="false" customHeight="false" outlineLevel="0" collapsed="false">
      <c r="A129" s="39" t="s">
        <v>183</v>
      </c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  <c r="AB129" s="39"/>
      <c r="AC129" s="39"/>
      <c r="AD129" s="39"/>
      <c r="AE129" s="39"/>
      <c r="AF129" s="39"/>
      <c r="AG129" s="39"/>
      <c r="AH129" s="39"/>
      <c r="AI129" s="39"/>
      <c r="AJ129" s="39"/>
      <c r="AK129" s="39"/>
      <c r="AL129" s="39"/>
    </row>
    <row r="130" customFormat="false" ht="15" hidden="false" customHeight="false" outlineLevel="0" collapsed="false">
      <c r="A130" s="40" t="n">
        <f aca="false">'Task Tracker'!A130</f>
        <v>11</v>
      </c>
      <c r="B130" s="41" t="str">
        <f aca="false">'Task Tracker'!B130</f>
        <v>Séparation et Froid Industriel</v>
      </c>
      <c r="C130" s="41" t="str">
        <f aca="false">'Task Tracker'!E130</f>
        <v>Technical Specs Review</v>
      </c>
      <c r="D130" s="42" t="str">
        <f aca="false">'Task Tracker'!G130</f>
        <v>Complete</v>
      </c>
      <c r="E130" s="43" t="n">
        <f aca="false">'Task Tracker'!H130</f>
        <v>46133</v>
      </c>
      <c r="F130" s="43" t="n">
        <f aca="false">'Task Tracker'!I130</f>
        <v>46146</v>
      </c>
    </row>
    <row r="131" customFormat="false" ht="15" hidden="false" customHeight="false" outlineLevel="0" collapsed="false">
      <c r="A131" s="40" t="n">
        <f aca="false">'Task Tracker'!A131</f>
        <v>11</v>
      </c>
      <c r="B131" s="41" t="str">
        <f aca="false">'Task Tracker'!B131</f>
        <v>Séparation et Froid Industriel</v>
      </c>
      <c r="C131" s="41" t="str">
        <f aca="false">'Task Tracker'!E131</f>
        <v>P&amp;ID Drawing Approval</v>
      </c>
      <c r="D131" s="42" t="str">
        <f aca="false">'Task Tracker'!G131</f>
        <v>In Progress</v>
      </c>
      <c r="E131" s="43" t="n">
        <f aca="false">'Task Tracker'!H131</f>
        <v>46201</v>
      </c>
      <c r="F131" s="43" t="n">
        <f aca="false">'Task Tracker'!I131</f>
        <v>46214</v>
      </c>
    </row>
    <row r="132" customFormat="false" ht="15" hidden="false" customHeight="false" outlineLevel="0" collapsed="false">
      <c r="A132" s="40" t="n">
        <f aca="false">'Task Tracker'!A132</f>
        <v>11</v>
      </c>
      <c r="B132" s="41" t="str">
        <f aca="false">'Task Tracker'!B132</f>
        <v>Séparation et Froid Industriel</v>
      </c>
      <c r="C132" s="41" t="str">
        <f aca="false">'Task Tracker'!E132</f>
        <v>Vendor Finalization</v>
      </c>
      <c r="D132" s="42" t="str">
        <f aca="false">'Task Tracker'!G132</f>
        <v>In Progress</v>
      </c>
      <c r="E132" s="43" t="n">
        <f aca="false">'Task Tracker'!H132</f>
        <v>46214</v>
      </c>
      <c r="F132" s="43" t="n">
        <f aca="false">'Task Tracker'!I132</f>
        <v>46245</v>
      </c>
    </row>
    <row r="133" customFormat="false" ht="15" hidden="false" customHeight="false" outlineLevel="0" collapsed="false">
      <c r="A133" s="39" t="s">
        <v>184</v>
      </c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  <c r="AB133" s="39"/>
      <c r="AC133" s="39"/>
      <c r="AD133" s="39"/>
      <c r="AE133" s="39"/>
      <c r="AF133" s="39"/>
      <c r="AG133" s="39"/>
      <c r="AH133" s="39"/>
      <c r="AI133" s="39"/>
      <c r="AJ133" s="39"/>
      <c r="AK133" s="39"/>
      <c r="AL133" s="39"/>
    </row>
    <row r="134" customFormat="false" ht="15" hidden="false" customHeight="false" outlineLevel="0" collapsed="false">
      <c r="A134" s="40" t="n">
        <f aca="false">'Task Tracker'!A134</f>
        <v>12</v>
      </c>
      <c r="B134" s="41" t="str">
        <f aca="false">'Task Tracker'!B134</f>
        <v>Séparation Salle de Commande &amp; MCC</v>
      </c>
      <c r="C134" s="41" t="str">
        <f aca="false">'Task Tracker'!E134</f>
        <v>Technical Specs Review</v>
      </c>
      <c r="D134" s="42" t="str">
        <f aca="false">'Task Tracker'!G134</f>
        <v>Complete</v>
      </c>
      <c r="E134" s="43" t="n">
        <f aca="false">'Task Tracker'!H134</f>
        <v>46133</v>
      </c>
      <c r="F134" s="43" t="n">
        <f aca="false">'Task Tracker'!I134</f>
        <v>46146</v>
      </c>
    </row>
    <row r="135" customFormat="false" ht="15" hidden="false" customHeight="false" outlineLevel="0" collapsed="false">
      <c r="A135" s="40" t="n">
        <f aca="false">'Task Tracker'!A135</f>
        <v>12</v>
      </c>
      <c r="B135" s="41" t="str">
        <f aca="false">'Task Tracker'!B135</f>
        <v>Séparation Salle de Commande &amp; MCC</v>
      </c>
      <c r="C135" s="41" t="str">
        <f aca="false">'Task Tracker'!E135</f>
        <v>P&amp;ID Drawing Approval</v>
      </c>
      <c r="D135" s="42" t="str">
        <f aca="false">'Task Tracker'!G135</f>
        <v>Complete</v>
      </c>
      <c r="E135" s="43" t="n">
        <f aca="false">'Task Tracker'!H135</f>
        <v>46140</v>
      </c>
      <c r="F135" s="43" t="n">
        <f aca="false">'Task Tracker'!I135</f>
        <v>46306</v>
      </c>
    </row>
    <row r="136" customFormat="false" ht="15" hidden="false" customHeight="false" outlineLevel="0" collapsed="false">
      <c r="A136" s="40" t="n">
        <f aca="false">'Task Tracker'!A136</f>
        <v>12</v>
      </c>
      <c r="B136" s="41" t="str">
        <f aca="false">'Task Tracker'!B136</f>
        <v>Séparation Salle de Commande &amp; MCC</v>
      </c>
      <c r="C136" s="41" t="str">
        <f aca="false">'Task Tracker'!E136</f>
        <v>Vendor Finalization</v>
      </c>
      <c r="D136" s="42" t="str">
        <f aca="false">'Task Tracker'!G136</f>
        <v>In Progress</v>
      </c>
      <c r="E136" s="43" t="n">
        <f aca="false">'Task Tracker'!H136</f>
        <v>46306</v>
      </c>
      <c r="F136" s="43" t="n">
        <f aca="false">'Task Tracker'!I136</f>
        <v>46337</v>
      </c>
    </row>
    <row r="137" customFormat="false" ht="15" hidden="false" customHeight="false" outlineLevel="0" collapsed="false">
      <c r="A137" s="39" t="s">
        <v>185</v>
      </c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  <c r="AC137" s="39"/>
      <c r="AD137" s="39"/>
      <c r="AE137" s="39"/>
      <c r="AF137" s="39"/>
      <c r="AG137" s="39"/>
      <c r="AH137" s="39"/>
      <c r="AI137" s="39"/>
      <c r="AJ137" s="39"/>
      <c r="AK137" s="39"/>
      <c r="AL137" s="39"/>
    </row>
    <row r="138" customFormat="false" ht="15" hidden="false" customHeight="false" outlineLevel="0" collapsed="false">
      <c r="A138" s="40" t="n">
        <f aca="false">'Task Tracker'!A138</f>
        <v>13</v>
      </c>
      <c r="B138" s="41" t="str">
        <f aca="false">'Task Tracker'!B138</f>
        <v>Recrutement</v>
      </c>
      <c r="C138" s="41" t="str">
        <f aca="false">'Task Tracker'!E138</f>
        <v>CV</v>
      </c>
      <c r="D138" s="42" t="str">
        <f aca="false">'Task Tracker'!G138</f>
        <v>Complete</v>
      </c>
      <c r="E138" s="43" t="n">
        <f aca="false">'Task Tracker'!H138</f>
        <v>46133</v>
      </c>
      <c r="F138" s="43" t="n">
        <f aca="false">'Task Tracker'!I138</f>
        <v>46146</v>
      </c>
    </row>
    <row r="139" customFormat="false" ht="15" hidden="false" customHeight="false" outlineLevel="0" collapsed="false">
      <c r="A139" s="40" t="n">
        <f aca="false">'Task Tracker'!A139</f>
        <v>13</v>
      </c>
      <c r="B139" s="41" t="str">
        <f aca="false">'Task Tracker'!B139</f>
        <v>Recrutement</v>
      </c>
      <c r="C139" s="41" t="str">
        <f aca="false">'Task Tracker'!E139</f>
        <v>CV</v>
      </c>
      <c r="D139" s="42" t="str">
        <f aca="false">'Task Tracker'!G139</f>
        <v>Complete</v>
      </c>
      <c r="E139" s="43" t="n">
        <f aca="false">'Task Tracker'!H139</f>
        <v>46133</v>
      </c>
      <c r="F139" s="43" t="n">
        <f aca="false">'Task Tracker'!I139</f>
        <v>46146</v>
      </c>
    </row>
    <row r="140" customFormat="false" ht="15" hidden="false" customHeight="false" outlineLevel="0" collapsed="false">
      <c r="A140" s="40" t="n">
        <f aca="false">'Task Tracker'!A140</f>
        <v>13</v>
      </c>
      <c r="B140" s="41" t="str">
        <f aca="false">'Task Tracker'!B140</f>
        <v>Recrutement</v>
      </c>
      <c r="C140" s="41" t="str">
        <f aca="false">'Task Tracker'!E140</f>
        <v>Finalization</v>
      </c>
      <c r="D140" s="42" t="str">
        <f aca="false">'Task Tracker'!G140</f>
        <v>In Progress</v>
      </c>
      <c r="E140" s="43" t="n">
        <f aca="false">'Task Tracker'!H140</f>
        <v>46204</v>
      </c>
      <c r="F140" s="43" t="n">
        <f aca="false">'Task Tracker'!I140</f>
        <v>46214</v>
      </c>
    </row>
    <row r="141" customFormat="false" ht="15" hidden="false" customHeight="false" outlineLevel="0" collapsed="false">
      <c r="A141" s="39" t="s">
        <v>186</v>
      </c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  <c r="AD141" s="39"/>
      <c r="AE141" s="39"/>
      <c r="AF141" s="39"/>
      <c r="AG141" s="39"/>
      <c r="AH141" s="39"/>
      <c r="AI141" s="39"/>
      <c r="AJ141" s="39"/>
      <c r="AK141" s="39"/>
      <c r="AL141" s="39"/>
    </row>
    <row r="142" customFormat="false" ht="15" hidden="false" customHeight="false" outlineLevel="0" collapsed="false">
      <c r="A142" s="40" t="n">
        <f aca="false">'Task Tracker'!A142</f>
        <v>14</v>
      </c>
      <c r="B142" s="41" t="str">
        <f aca="false">'Task Tracker'!B142</f>
        <v>Logiciel</v>
      </c>
      <c r="C142" s="41" t="str">
        <f aca="false">'Task Tracker'!E142</f>
        <v>Technical Specs Review</v>
      </c>
      <c r="D142" s="42" t="str">
        <f aca="false">'Task Tracker'!G142</f>
        <v>Complete</v>
      </c>
      <c r="E142" s="43" t="n">
        <f aca="false">'Task Tracker'!H142</f>
        <v>46133</v>
      </c>
      <c r="F142" s="43" t="n">
        <f aca="false">'Task Tracker'!I142</f>
        <v>46146</v>
      </c>
    </row>
    <row r="143" customFormat="false" ht="15" hidden="false" customHeight="false" outlineLevel="0" collapsed="false">
      <c r="A143" s="40" t="n">
        <f aca="false">'Task Tracker'!A143</f>
        <v>14</v>
      </c>
      <c r="B143" s="41" t="str">
        <f aca="false">'Task Tracker'!B143</f>
        <v>Logiciel</v>
      </c>
      <c r="C143" s="41" t="str">
        <f aca="false">'Task Tracker'!E143</f>
        <v>P&amp;ID  Approval</v>
      </c>
      <c r="D143" s="42" t="str">
        <f aca="false">'Task Tracker'!G143</f>
        <v>In Progress</v>
      </c>
      <c r="E143" s="43" t="n">
        <f aca="false">'Task Tracker'!H143</f>
        <v>46140</v>
      </c>
      <c r="F143" s="43" t="n">
        <f aca="false">'Task Tracker'!I143</f>
        <v>46153</v>
      </c>
    </row>
    <row r="144" customFormat="false" ht="15" hidden="false" customHeight="false" outlineLevel="0" collapsed="false">
      <c r="A144" s="40" t="n">
        <f aca="false">'Task Tracker'!A144</f>
        <v>14</v>
      </c>
      <c r="B144" s="41" t="str">
        <f aca="false">'Task Tracker'!B144</f>
        <v>Logiciel</v>
      </c>
      <c r="C144" s="41" t="str">
        <f aca="false">'Task Tracker'!E144</f>
        <v>Vendor Finalization</v>
      </c>
      <c r="D144" s="42" t="str">
        <f aca="false">'Task Tracker'!G144</f>
        <v>In Progress</v>
      </c>
      <c r="E144" s="43" t="n">
        <f aca="false">'Task Tracker'!H144</f>
        <v>46153</v>
      </c>
      <c r="F144" s="43" t="n">
        <f aca="false">'Task Tracker'!I144</f>
        <v>46214</v>
      </c>
    </row>
    <row r="146" customFormat="false" ht="15" hidden="false" customHeight="false" outlineLevel="0" collapsed="false">
      <c r="A146" s="44" t="s">
        <v>187</v>
      </c>
      <c r="B146" s="45"/>
      <c r="C146" s="46" t="s">
        <v>18</v>
      </c>
      <c r="E146" s="47"/>
      <c r="F146" s="46" t="s">
        <v>24</v>
      </c>
      <c r="H146" s="48"/>
      <c r="I146" s="46" t="s">
        <v>26</v>
      </c>
      <c r="K146" s="49"/>
      <c r="L146" s="46" t="s">
        <v>188</v>
      </c>
      <c r="N146" s="50"/>
      <c r="O146" s="46" t="s">
        <v>189</v>
      </c>
    </row>
  </sheetData>
  <mergeCells count="15">
    <mergeCell ref="A1:AL1"/>
    <mergeCell ref="A3:AL3"/>
    <mergeCell ref="A18:AL18"/>
    <mergeCell ref="A32:AL32"/>
    <mergeCell ref="A45:AL45"/>
    <mergeCell ref="A56:AL56"/>
    <mergeCell ref="A69:AL69"/>
    <mergeCell ref="A84:AL84"/>
    <mergeCell ref="A97:AL97"/>
    <mergeCell ref="A101:AL101"/>
    <mergeCell ref="A116:AL116"/>
    <mergeCell ref="A129:AL129"/>
    <mergeCell ref="A133:AL133"/>
    <mergeCell ref="A137:AL137"/>
    <mergeCell ref="A141:AL141"/>
  </mergeCells>
  <conditionalFormatting sqref="D4:D144">
    <cfRule type="expression" priority="2" aboveAverage="0" equalAverage="0" bottom="0" percent="0" rank="0" text="" dxfId="4">
      <formula>EXACT($D4,"Complete")</formula>
    </cfRule>
    <cfRule type="expression" priority="3" aboveAverage="0" equalAverage="0" bottom="0" percent="0" rank="0" text="" dxfId="5">
      <formula>EXACT($D4,"In Progress")</formula>
    </cfRule>
    <cfRule type="expression" priority="4" aboveAverage="0" equalAverage="0" bottom="0" percent="0" rank="0" text="" dxfId="6">
      <formula>EXACT($D4,"Not Started")</formula>
    </cfRule>
    <cfRule type="expression" priority="5" aboveAverage="0" equalAverage="0" bottom="0" percent="0" rank="0" text="" dxfId="7">
      <formula>EXACT($D4,"Blocked")</formula>
    </cfRule>
  </conditionalFormatting>
  <conditionalFormatting sqref="G4:AL144">
    <cfRule type="expression" priority="6" aboveAverage="0" equalAverage="0" bottom="0" percent="0" rank="0" text="" dxfId="8">
      <formula>AND($E4&lt;&gt;"",N($E4)&gt;0,G$2&lt;=$F4,G$2+6&gt;=$E4,$D4="Complete")</formula>
    </cfRule>
    <cfRule type="expression" priority="7" aboveAverage="0" equalAverage="0" bottom="0" percent="0" rank="0" text="" dxfId="9">
      <formula>AND($E4&lt;&gt;"",N($E4)&gt;0,G$2&lt;=$F4,G$2+6&gt;=$E4,$D4="In Progress")</formula>
    </cfRule>
    <cfRule type="expression" priority="8" aboveAverage="0" equalAverage="0" bottom="0" percent="0" rank="0" text="" dxfId="10">
      <formula>AND($E4&lt;&gt;"",N($E4)&gt;0,G$2&lt;=$F4,G$2+6&gt;=$E4,$D4="Not Started")</formula>
    </cfRule>
    <cfRule type="expression" priority="9" aboveAverage="0" equalAverage="0" bottom="0" percent="0" rank="0" text="" dxfId="11">
      <formula>AND($E4&lt;&gt;"",N($E4)&gt;0,G$2&lt;=$F4,G$2+6&gt;=$E4,$D4="Blocked")</formula>
    </cfRule>
    <cfRule type="expression" priority="10" aboveAverage="0" equalAverage="0" bottom="0" percent="0" rank="0" text="" dxfId="12">
      <formula>AND(G$2&lt;=TODAY(),G$2+6&gt;=TODAY())</formula>
    </cfRule>
  </conditionalFormatting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2026-06-23T17:36:56Z</dcterms:created>
  <dc:creator>openpyxl</dc:creator>
  <dc:description/>
  <dc:language>en-US</dc:language>
  <cp:lastModifiedBy/>
  <dcterms:modified xsi:type="dcterms:W3CDTF">2026-06-23T17:36:57Z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